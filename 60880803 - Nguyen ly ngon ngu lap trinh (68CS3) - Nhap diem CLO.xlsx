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dthi\Downloads\"/>
    </mc:Choice>
  </mc:AlternateContent>
  <xr:revisionPtr revIDLastSave="0" documentId="13_ncr:1_{869893F4-C1FA-4938-9F55-C5125AE49529}" xr6:coauthVersionLast="47" xr6:coauthVersionMax="47" xr10:uidLastSave="{00000000-0000-0000-0000-000000000000}"/>
  <bookViews>
    <workbookView xWindow="-120" yWindow="-120" windowWidth="20730" windowHeight="11160" activeTab="1" xr2:uid="{1C607D75-3944-4D87-AA4E-653D40EEAED7}"/>
  </bookViews>
  <sheets>
    <sheet name="Sheet" sheetId="1" r:id="rId1"/>
    <sheet name="Sheet1" sheetId="2" r:id="rId2"/>
    <sheet name="Report" sheetId="3" r:id="rId3"/>
  </sheets>
  <definedNames>
    <definedName name="_xlnm.Print_Area" localSheetId="0">Sheet!$A$1:$J$84</definedName>
  </definedNames>
  <calcPr calcId="191029"/>
</workbook>
</file>

<file path=xl/calcChain.xml><?xml version="1.0" encoding="utf-8"?>
<calcChain xmlns="http://schemas.openxmlformats.org/spreadsheetml/2006/main"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1" i="3"/>
  <c r="C62" i="1"/>
  <c r="G62" i="1"/>
  <c r="H62" i="1"/>
  <c r="I62" i="1"/>
</calcChain>
</file>

<file path=xl/sharedStrings.xml><?xml version="1.0" encoding="utf-8"?>
<sst xmlns="http://schemas.openxmlformats.org/spreadsheetml/2006/main" count="511" uniqueCount="250">
  <si>
    <t>STT</t>
  </si>
  <si>
    <t>Mã sinh viên</t>
  </si>
  <si>
    <t>Họ đệm</t>
  </si>
  <si>
    <t>Tên</t>
  </si>
  <si>
    <t>Ngày sinh</t>
  </si>
  <si>
    <t>Thông tin sinh viên</t>
  </si>
  <si>
    <t>Tổng cộng:</t>
  </si>
  <si>
    <t>Lớp học phần: [60880803] - Nguyên lý ngôn ngữ lập trình (68CS3)</t>
  </si>
  <si>
    <t>DiemThuongKy1</t>
  </si>
  <si>
    <t>DiemThuongKy2</t>
  </si>
  <si>
    <t>DiemTBThucHanh</t>
  </si>
  <si>
    <t>TBTH</t>
  </si>
  <si>
    <t>25%</t>
  </si>
  <si>
    <t>Học kỳ: HK1 2025-2026</t>
  </si>
  <si>
    <t>Thường xuyên</t>
  </si>
  <si>
    <t>BẢNG GHI ĐIỂM LỚP HỌC PHẦN</t>
  </si>
  <si>
    <t>0203668</t>
  </si>
  <si>
    <t>Lớp của sinh viên</t>
  </si>
  <si>
    <t>Trưởng khoa</t>
  </si>
  <si>
    <t>TL.Giáo vụ khoa</t>
  </si>
  <si>
    <t>Cán bộ giảng dạy</t>
  </si>
  <si>
    <t>(Ký, ghi rõ họ tên)</t>
  </si>
  <si>
    <t>Ghi chú:</t>
  </si>
  <si>
    <t>- "Mã bậc loại - Mã học phần - Tổ" gồm 12 ký tự, trong đó 04 ký tự đầu thể hiện cho Bậc đào tạo và Loại hình đào tạo, 6 ký tự tiếp theo là mã học phần, 2 ký tự sau là tổ</t>
  </si>
  <si>
    <t>- Sinh viên nào đủ điều kiện dự thi sẽ đánh dấu X tại cột "Đủ điều kiện dự thi"</t>
  </si>
  <si>
    <t>- Bảng ghi điểm lưu thành 04 bản: 01 bản chính lưu tại Phòng QLĐT, 03 bản photo lưu tại Giảng viên giảng dạy, Bộ môn quản lý và TL. Giáo vụ</t>
  </si>
  <si>
    <t>[ASCIMP]</t>
  </si>
  <si>
    <t>Trưởng nhóm chuyên môn</t>
  </si>
  <si>
    <t>0203868</t>
  </si>
  <si>
    <t>0203968</t>
  </si>
  <si>
    <t>0204068</t>
  </si>
  <si>
    <t>0204168</t>
  </si>
  <si>
    <t>0204268</t>
  </si>
  <si>
    <t>0204368</t>
  </si>
  <si>
    <t>0204668</t>
  </si>
  <si>
    <t>0204468</t>
  </si>
  <si>
    <t>0205268</t>
  </si>
  <si>
    <t>0211666</t>
  </si>
  <si>
    <t>0206868</t>
  </si>
  <si>
    <t>0206568</t>
  </si>
  <si>
    <t>0206668</t>
  </si>
  <si>
    <t>0206768</t>
  </si>
  <si>
    <t>0205368</t>
  </si>
  <si>
    <t>0205568</t>
  </si>
  <si>
    <t>0205768</t>
  </si>
  <si>
    <t>4000368</t>
  </si>
  <si>
    <t>0206468</t>
  </si>
  <si>
    <t>0207468</t>
  </si>
  <si>
    <t>0207668</t>
  </si>
  <si>
    <t>0208268</t>
  </si>
  <si>
    <t>0208468</t>
  </si>
  <si>
    <t>0209168</t>
  </si>
  <si>
    <t>0208968</t>
  </si>
  <si>
    <t>0209868</t>
  </si>
  <si>
    <t>0210068</t>
  </si>
  <si>
    <t>0210168</t>
  </si>
  <si>
    <t>0210668</t>
  </si>
  <si>
    <t>0210868</t>
  </si>
  <si>
    <t>0211568</t>
  </si>
  <si>
    <t>0211768</t>
  </si>
  <si>
    <t>0211968</t>
  </si>
  <si>
    <t>0212368</t>
  </si>
  <si>
    <t>0212468</t>
  </si>
  <si>
    <t>0212168</t>
  </si>
  <si>
    <t>0212768</t>
  </si>
  <si>
    <t>0213168</t>
  </si>
  <si>
    <t>0212968</t>
  </si>
  <si>
    <t>0213268</t>
  </si>
  <si>
    <t>0213568</t>
  </si>
  <si>
    <t>0213868</t>
  </si>
  <si>
    <t>0213968</t>
  </si>
  <si>
    <t>0213768</t>
  </si>
  <si>
    <t>0214268</t>
  </si>
  <si>
    <t>0214668</t>
  </si>
  <si>
    <t>0214768</t>
  </si>
  <si>
    <t>0215268</t>
  </si>
  <si>
    <t>0215368</t>
  </si>
  <si>
    <t>0215668</t>
  </si>
  <si>
    <t>Nguyễn Trọng Bảo</t>
  </si>
  <si>
    <t>Nguyễn Tuấn</t>
  </si>
  <si>
    <t>Nguyễn Việt</t>
  </si>
  <si>
    <t>Nguyễn Việt Tuấn</t>
  </si>
  <si>
    <t>Trần Phùng Đức</t>
  </si>
  <si>
    <t>Trần Quốc</t>
  </si>
  <si>
    <t>Trịnh Tuấn</t>
  </si>
  <si>
    <t>Bùi Xuân</t>
  </si>
  <si>
    <t>Bùi Thiên</t>
  </si>
  <si>
    <t>Nguyễn Tiến</t>
  </si>
  <si>
    <t>Vũ Quốc</t>
  </si>
  <si>
    <t>Vũ Hải</t>
  </si>
  <si>
    <t>Nguyễn Thành</t>
  </si>
  <si>
    <t>Mạnh Xuân</t>
  </si>
  <si>
    <t>Phạm Thùy</t>
  </si>
  <si>
    <t>Chử Văn</t>
  </si>
  <si>
    <t>Phạm Quý</t>
  </si>
  <si>
    <t>Phan Cảnh</t>
  </si>
  <si>
    <t>Bùi Duy</t>
  </si>
  <si>
    <t>Phạm Minh</t>
  </si>
  <si>
    <t>Đinh Minh</t>
  </si>
  <si>
    <t>Trịnh Ngọc</t>
  </si>
  <si>
    <t>Nguyễn Thu</t>
  </si>
  <si>
    <t>Trịnh Đăng</t>
  </si>
  <si>
    <t>Lâm Tuấn</t>
  </si>
  <si>
    <t>Nguyễn Hồng</t>
  </si>
  <si>
    <t>Ngô Thị Thùy</t>
  </si>
  <si>
    <t>Nguyễn Đức</t>
  </si>
  <si>
    <t>Nguyễn Viết</t>
  </si>
  <si>
    <t>Trần Phương</t>
  </si>
  <si>
    <t>Trần Đại</t>
  </si>
  <si>
    <t>Bùi Minh</t>
  </si>
  <si>
    <t>Đào Đăng</t>
  </si>
  <si>
    <t>Vũ Nguyễn Cao</t>
  </si>
  <si>
    <t>Phạm Văn</t>
  </si>
  <si>
    <t>Nguyễn Phúc</t>
  </si>
  <si>
    <t>Trần Phúc</t>
  </si>
  <si>
    <t>Nguyễn Kim</t>
  </si>
  <si>
    <t>Bùi Mạnh</t>
  </si>
  <si>
    <t>Nguyễn Lý</t>
  </si>
  <si>
    <t>Đỗ Công</t>
  </si>
  <si>
    <t>Đinh Quang</t>
  </si>
  <si>
    <t>Nguyễn Anh</t>
  </si>
  <si>
    <t>Nghiêm Thanh</t>
  </si>
  <si>
    <t>Ninh Thị Thanh</t>
  </si>
  <si>
    <t>Đặng Thị Khánh</t>
  </si>
  <si>
    <t>Anh</t>
  </si>
  <si>
    <t>Bắc</t>
  </si>
  <si>
    <t>Bảo</t>
  </si>
  <si>
    <t>Công</t>
  </si>
  <si>
    <t>Cường</t>
  </si>
  <si>
    <t>Đăng</t>
  </si>
  <si>
    <t>Đạt</t>
  </si>
  <si>
    <t>Doanh</t>
  </si>
  <si>
    <t>Dung</t>
  </si>
  <si>
    <t>Dũng</t>
  </si>
  <si>
    <t>Dương</t>
  </si>
  <si>
    <t>Hải</t>
  </si>
  <si>
    <t>Hoàng</t>
  </si>
  <si>
    <t>Hương</t>
  </si>
  <si>
    <t>Huy</t>
  </si>
  <si>
    <t>Kiệt</t>
  </si>
  <si>
    <t>Lịch</t>
  </si>
  <si>
    <t>Linh</t>
  </si>
  <si>
    <t>Mạnh</t>
  </si>
  <si>
    <t>Nam</t>
  </si>
  <si>
    <t>Nghĩa</t>
  </si>
  <si>
    <t>Phương</t>
  </si>
  <si>
    <t>Quân</t>
  </si>
  <si>
    <t>Quang</t>
  </si>
  <si>
    <t>Sơn</t>
  </si>
  <si>
    <t>Thắng</t>
  </si>
  <si>
    <t>Thanh</t>
  </si>
  <si>
    <t>Thiên</t>
  </si>
  <si>
    <t>Thuận</t>
  </si>
  <si>
    <t>Tiến</t>
  </si>
  <si>
    <t>Tiền</t>
  </si>
  <si>
    <t>Trí</t>
  </si>
  <si>
    <t>Tuấn</t>
  </si>
  <si>
    <t>Tùng</t>
  </si>
  <si>
    <t>Vân</t>
  </si>
  <si>
    <t>Vy</t>
  </si>
  <si>
    <t>13/10/2005</t>
  </si>
  <si>
    <t>21/09/2005</t>
  </si>
  <si>
    <t>24/06/2005</t>
  </si>
  <si>
    <t>01/09/2005</t>
  </si>
  <si>
    <t>16/10/2005</t>
  </si>
  <si>
    <t>11/12/2005</t>
  </si>
  <si>
    <t>28/06/2005</t>
  </si>
  <si>
    <t>18/01/2005</t>
  </si>
  <si>
    <t>24/02/2005</t>
  </si>
  <si>
    <t>07/12/2005</t>
  </si>
  <si>
    <t>24/09/2003</t>
  </si>
  <si>
    <t>20/02/2005</t>
  </si>
  <si>
    <t>07/05/2005</t>
  </si>
  <si>
    <t>21/11/2005</t>
  </si>
  <si>
    <t>30/08/2005</t>
  </si>
  <si>
    <t>13/07/2005</t>
  </si>
  <si>
    <t>05/11/2004</t>
  </si>
  <si>
    <t>20/04/2005</t>
  </si>
  <si>
    <t>07/06/2005</t>
  </si>
  <si>
    <t>10/08/2005</t>
  </si>
  <si>
    <t>06/02/2005</t>
  </si>
  <si>
    <t>23/05/2005</t>
  </si>
  <si>
    <t>29/05/2005</t>
  </si>
  <si>
    <t>08/12/2005</t>
  </si>
  <si>
    <t>09/01/2005</t>
  </si>
  <si>
    <t>06/09/2005</t>
  </si>
  <si>
    <t>22/09/2005</t>
  </si>
  <si>
    <t>24/09/2005</t>
  </si>
  <si>
    <t>04/09/2005</t>
  </si>
  <si>
    <t>06/08/2005</t>
  </si>
  <si>
    <t>28/09/2005</t>
  </si>
  <si>
    <t>30/10/2005</t>
  </si>
  <si>
    <t>05/01/2005</t>
  </si>
  <si>
    <t>13/08/2005</t>
  </si>
  <si>
    <t>16/03/2005</t>
  </si>
  <si>
    <t>09/04/2005</t>
  </si>
  <si>
    <t>18/09/2005</t>
  </si>
  <si>
    <t>08/07/2005</t>
  </si>
  <si>
    <t>25/01/2005</t>
  </si>
  <si>
    <t>26/02/2005</t>
  </si>
  <si>
    <t>17/10/2004</t>
  </si>
  <si>
    <t>14/02/2005</t>
  </si>
  <si>
    <t>28/10/2005</t>
  </si>
  <si>
    <t>28/12/2005</t>
  </si>
  <si>
    <t>13/09/2005</t>
  </si>
  <si>
    <t>23/02/2005</t>
  </si>
  <si>
    <t>68CS2</t>
  </si>
  <si>
    <t>68CS1</t>
  </si>
  <si>
    <t>68CS3</t>
  </si>
  <si>
    <t>66CNCS</t>
  </si>
  <si>
    <t>MSSV</t>
  </si>
  <si>
    <t>GK1</t>
  </si>
  <si>
    <t>GK2</t>
  </si>
  <si>
    <t>Thi</t>
  </si>
  <si>
    <t>GK3</t>
  </si>
  <si>
    <t>CLO1</t>
  </si>
  <si>
    <t>CLO2</t>
  </si>
  <si>
    <t>CLO3</t>
  </si>
  <si>
    <t>THỐNG KÊ MỨC ĐẠT THEO TỪNG CLO</t>
  </si>
  <si>
    <t>Theo CLO</t>
  </si>
  <si>
    <t>Số lượng</t>
  </si>
  <si>
    <t>Tỷ lê</t>
  </si>
  <si>
    <t>Mức 0</t>
  </si>
  <si>
    <t>Mức 1</t>
  </si>
  <si>
    <t>Mức 2</t>
  </si>
  <si>
    <t>Mức 3</t>
  </si>
  <si>
    <t>Mức 4</t>
  </si>
  <si>
    <t>CLO 1</t>
  </si>
  <si>
    <t>CLO 2</t>
  </si>
  <si>
    <t>CLO 3</t>
  </si>
  <si>
    <t xml:space="preserve">THỐNG KÊ XẾP LOẠI HỌC LỰC THEO ĐIỂM TRUNG BÌNH TÍCH LUỸ															</t>
  </si>
  <si>
    <t>Theo GPA</t>
  </si>
  <si>
    <t xml:space="preserve">Tỷ lệ </t>
  </si>
  <si>
    <t>Yếu</t>
  </si>
  <si>
    <t>Kém</t>
  </si>
  <si>
    <t>Trung bình</t>
  </si>
  <si>
    <t>Khá</t>
  </si>
  <si>
    <t>Giỏi</t>
  </si>
  <si>
    <t>GPA</t>
  </si>
  <si>
    <t>Số SV
dự thi</t>
  </si>
  <si>
    <t>Tổng số SV</t>
  </si>
  <si>
    <t>Số SV bỏ học</t>
  </si>
  <si>
    <t>Số SV bỏ thi</t>
  </si>
  <si>
    <t>Số SV dự thi</t>
  </si>
  <si>
    <t>Trung bình CLO</t>
  </si>
  <si>
    <t>Trung bình
GPA</t>
  </si>
  <si>
    <t>Phân loại
GPA</t>
  </si>
  <si>
    <t>Đánh giá
GPA</t>
  </si>
  <si>
    <t>Mức đạt CLO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</si>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</sst>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0.0;[Red]0.0"/>
  </numFmts>
  <fonts count="17" x14ac:knownFonts="1">
    <font>
      <sz val="11"/>
      <color theme="1"/>
      <name val="Calibri"/>
      <family val="2"/>
      <scheme val="minor"/>
    </font>
    <font>
      <i/>
      <sz val="12"/>
      <name val="Times New Roman"/>
      <family val="1"/>
    </font>
    <font>
      <b/>
      <sz val="12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  <font>
      <b/>
      <i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3"/>
      <name val="Times New Roman"/>
      <family val="1"/>
    </font>
    <font>
      <i/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color theme="1"/>
      <name val="Tahoma"/>
      <family val="2"/>
    </font>
    <font>
      <b/>
      <sz val="13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0" borderId="0" xfId="0" applyFont="1"/>
    <xf numFmtId="1" fontId="4" fillId="0" borderId="0" xfId="0" applyNumberFormat="1" applyFont="1"/>
    <xf numFmtId="1" fontId="5" fillId="0" borderId="0" xfId="0" applyNumberFormat="1" applyFont="1"/>
    <xf numFmtId="0" fontId="5" fillId="0" borderId="0" xfId="0" applyFont="1"/>
    <xf numFmtId="1" fontId="6" fillId="0" borderId="0" xfId="0" applyNumberFormat="1" applyFont="1"/>
    <xf numFmtId="0" fontId="7" fillId="0" borderId="0" xfId="0" applyFont="1"/>
    <xf numFmtId="0" fontId="6" fillId="0" borderId="0" xfId="0" applyFont="1"/>
    <xf numFmtId="0" fontId="7" fillId="2" borderId="0" xfId="0" applyFont="1" applyFill="1"/>
    <xf numFmtId="1" fontId="8" fillId="0" borderId="0" xfId="0" applyNumberFormat="1" applyFont="1"/>
    <xf numFmtId="0" fontId="8" fillId="0" borderId="0" xfId="0" applyFont="1"/>
    <xf numFmtId="0" fontId="6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3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/>
    <xf numFmtId="164" fontId="9" fillId="0" borderId="4" xfId="0" applyNumberFormat="1" applyFont="1" applyBorder="1" applyAlignment="1">
      <alignment horizontal="right" vertical="center"/>
    </xf>
    <xf numFmtId="165" fontId="6" fillId="0" borderId="1" xfId="0" quotePrefix="1" applyNumberFormat="1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vertical="center"/>
    </xf>
    <xf numFmtId="49" fontId="6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12" fillId="0" borderId="0" xfId="0" applyFont="1"/>
    <xf numFmtId="0" fontId="13" fillId="0" borderId="0" xfId="0" quotePrefix="1" applyFont="1"/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 wrapText="1"/>
    </xf>
    <xf numFmtId="1" fontId="7" fillId="0" borderId="14" xfId="0" applyNumberFormat="1" applyFont="1" applyBorder="1" applyAlignment="1">
      <alignment horizontal="center" vertical="center" wrapText="1"/>
    </xf>
    <xf numFmtId="1" fontId="7" fillId="0" borderId="1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1">
    <dxf>
      <fill>
        <patternFill>
          <bgColor rgb="FFF8F8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448</xdr:colOff>
      <xdr:row>0</xdr:row>
      <xdr:rowOff>0</xdr:rowOff>
    </xdr:from>
    <xdr:to>
      <xdr:col>9</xdr:col>
      <xdr:colOff>5392</xdr:colOff>
      <xdr:row>3</xdr:row>
      <xdr:rowOff>19134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ADA2FE8-230B-A04E-9F82-DB89854F3DCB}"/>
            </a:ext>
          </a:extLst>
        </xdr:cNvPr>
        <xdr:cNvSpPr txBox="1"/>
      </xdr:nvSpPr>
      <xdr:spPr>
        <a:xfrm>
          <a:off x="4248150" y="0"/>
          <a:ext cx="267081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CỘNG HÒA XÃ HỘI CHỦ NGHĨA VIỆT NAM</a:t>
          </a: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Độc lập - Tự do - Hạnh phúc</a:t>
          </a: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----------------------------</a:t>
          </a:r>
        </a:p>
      </xdr:txBody>
    </xdr:sp>
    <xdr:clientData/>
  </xdr:twoCellAnchor>
  <xdr:twoCellAnchor editAs="oneCell">
    <xdr:from>
      <xdr:col>1</xdr:col>
      <xdr:colOff>300990</xdr:colOff>
      <xdr:row>1</xdr:row>
      <xdr:rowOff>9525</xdr:rowOff>
    </xdr:from>
    <xdr:to>
      <xdr:col>3</xdr:col>
      <xdr:colOff>554385</xdr:colOff>
      <xdr:row>3</xdr:row>
      <xdr:rowOff>200025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66ABA57-2B1F-D330-1594-D578783D94D5}"/>
            </a:ext>
          </a:extLst>
        </xdr:cNvPr>
        <xdr:cNvSpPr txBox="1">
          <a:spLocks noChangeArrowheads="1"/>
        </xdr:cNvSpPr>
      </xdr:nvSpPr>
      <xdr:spPr bwMode="auto">
        <a:xfrm>
          <a:off x="685800" y="200025"/>
          <a:ext cx="2352675" cy="54292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4A2-DEC8-4394-BC8A-5745E4A4F76A}">
  <sheetPr>
    <pageSetUpPr fitToPage="1"/>
  </sheetPr>
  <dimension ref="A1:I82"/>
  <sheetViews>
    <sheetView showGridLines="0" view="pageBreakPreview" zoomScale="85" zoomScaleNormal="100" zoomScaleSheetLayoutView="85" workbookViewId="0">
      <pane ySplit="10" topLeftCell="A47" activePane="bottomLeft" state="frozen"/>
      <selection pane="bottomLeft" activeCell="D56" sqref="D56"/>
    </sheetView>
  </sheetViews>
  <sheetFormatPr defaultColWidth="5.7109375" defaultRowHeight="12.75" x14ac:dyDescent="0.2"/>
  <cols>
    <col min="1" max="1" width="5.7109375" style="2" customWidth="1"/>
    <col min="2" max="2" width="14.28515625" style="1" customWidth="1"/>
    <col min="3" max="3" width="17.140625" style="1" customWidth="1"/>
    <col min="4" max="4" width="8.5703125" style="1" customWidth="1"/>
    <col min="5" max="5" width="11.7109375" style="1" customWidth="1"/>
    <col min="6" max="6" width="21.28515625" style="1" customWidth="1"/>
    <col min="7" max="16384" width="5.7109375" style="1"/>
  </cols>
  <sheetData>
    <row r="1" spans="1:9" s="4" customFormat="1" ht="15.6" customHeight="1" x14ac:dyDescent="0.2">
      <c r="A1" s="3"/>
    </row>
    <row r="2" spans="1:9" s="4" customFormat="1" ht="15.6" customHeight="1" x14ac:dyDescent="0.2">
      <c r="A2" s="3"/>
    </row>
    <row r="3" spans="1:9" s="4" customFormat="1" ht="12.75" customHeight="1" x14ac:dyDescent="0.2">
      <c r="A3" s="3"/>
    </row>
    <row r="4" spans="1:9" s="23" customFormat="1" ht="28.5" customHeight="1" x14ac:dyDescent="0.3">
      <c r="A4" s="26"/>
      <c r="B4" s="40" t="s">
        <v>15</v>
      </c>
      <c r="C4" s="40"/>
      <c r="D4" s="40"/>
      <c r="E4" s="40"/>
      <c r="F4" s="40"/>
      <c r="G4" s="40"/>
      <c r="H4" s="40"/>
      <c r="I4" s="40"/>
    </row>
    <row r="5" spans="1:9" s="6" customFormat="1" ht="19.5" customHeight="1" x14ac:dyDescent="0.25">
      <c r="A5" s="47" t="s">
        <v>13</v>
      </c>
      <c r="B5" s="47"/>
      <c r="C5" s="47"/>
      <c r="D5" s="47"/>
      <c r="E5" s="47"/>
      <c r="F5" s="47"/>
      <c r="G5" s="47"/>
      <c r="H5" s="47"/>
      <c r="I5" s="47"/>
    </row>
    <row r="6" spans="1:9" s="7" customFormat="1" ht="15.75" x14ac:dyDescent="0.25">
      <c r="A6" s="5"/>
      <c r="C6" s="8" t="s">
        <v>7</v>
      </c>
      <c r="E6" s="6"/>
      <c r="F6" s="6"/>
    </row>
    <row r="7" spans="1:9" s="10" customFormat="1" ht="6.75" customHeight="1" thickBot="1" x14ac:dyDescent="0.3">
      <c r="A7" s="9" t="s">
        <v>26</v>
      </c>
      <c r="G7" s="10" t="s">
        <v>8</v>
      </c>
      <c r="H7" s="10" t="s">
        <v>9</v>
      </c>
      <c r="I7" s="10" t="s">
        <v>10</v>
      </c>
    </row>
    <row r="8" spans="1:9" s="11" customFormat="1" ht="15.75" customHeight="1" x14ac:dyDescent="0.25">
      <c r="A8" s="53" t="s">
        <v>0</v>
      </c>
      <c r="B8" s="44" t="s">
        <v>5</v>
      </c>
      <c r="C8" s="45"/>
      <c r="D8" s="45"/>
      <c r="E8" s="45"/>
      <c r="F8" s="46"/>
      <c r="G8" s="44" t="s">
        <v>14</v>
      </c>
      <c r="H8" s="45"/>
      <c r="I8" s="49"/>
    </row>
    <row r="9" spans="1:9" s="11" customFormat="1" ht="15.6" customHeight="1" x14ac:dyDescent="0.25">
      <c r="A9" s="54"/>
      <c r="B9" s="42" t="s">
        <v>1</v>
      </c>
      <c r="C9" s="42" t="s">
        <v>2</v>
      </c>
      <c r="D9" s="42" t="s">
        <v>3</v>
      </c>
      <c r="E9" s="42" t="s">
        <v>4</v>
      </c>
      <c r="F9" s="42" t="s">
        <v>17</v>
      </c>
      <c r="G9" s="12">
        <v>1</v>
      </c>
      <c r="H9" s="12">
        <v>2</v>
      </c>
      <c r="I9" s="13"/>
    </row>
    <row r="10" spans="1:9" s="11" customFormat="1" ht="14.25" customHeight="1" x14ac:dyDescent="0.25">
      <c r="A10" s="55"/>
      <c r="B10" s="43"/>
      <c r="C10" s="43"/>
      <c r="D10" s="43"/>
      <c r="E10" s="43"/>
      <c r="F10" s="43"/>
      <c r="G10" s="12" t="s">
        <v>12</v>
      </c>
      <c r="H10" s="12" t="s">
        <v>12</v>
      </c>
      <c r="I10" s="12" t="s">
        <v>11</v>
      </c>
    </row>
    <row r="11" spans="1:9" s="17" customFormat="1" ht="20.100000000000001" customHeight="1" x14ac:dyDescent="0.25">
      <c r="A11" s="14">
        <v>1</v>
      </c>
      <c r="B11" s="15" t="s">
        <v>16</v>
      </c>
      <c r="C11" s="16" t="s">
        <v>78</v>
      </c>
      <c r="D11" s="16" t="s">
        <v>124</v>
      </c>
      <c r="E11" s="15" t="s">
        <v>160</v>
      </c>
      <c r="F11" s="27" t="s">
        <v>206</v>
      </c>
      <c r="G11" s="25"/>
      <c r="H11" s="25"/>
      <c r="I11" s="25"/>
    </row>
    <row r="12" spans="1:9" s="17" customFormat="1" ht="20.100000000000001" customHeight="1" x14ac:dyDescent="0.25">
      <c r="A12" s="14">
        <v>2</v>
      </c>
      <c r="B12" s="15" t="s">
        <v>28</v>
      </c>
      <c r="C12" s="16" t="s">
        <v>79</v>
      </c>
      <c r="D12" s="16" t="s">
        <v>124</v>
      </c>
      <c r="E12" s="15" t="s">
        <v>161</v>
      </c>
      <c r="F12" s="27" t="s">
        <v>207</v>
      </c>
      <c r="G12" s="25"/>
      <c r="H12" s="25"/>
      <c r="I12" s="25"/>
    </row>
    <row r="13" spans="1:9" s="17" customFormat="1" ht="20.100000000000001" customHeight="1" x14ac:dyDescent="0.25">
      <c r="A13" s="14">
        <v>3</v>
      </c>
      <c r="B13" s="15" t="s">
        <v>29</v>
      </c>
      <c r="C13" s="16" t="s">
        <v>80</v>
      </c>
      <c r="D13" s="16" t="s">
        <v>124</v>
      </c>
      <c r="E13" s="15" t="s">
        <v>162</v>
      </c>
      <c r="F13" s="27" t="s">
        <v>206</v>
      </c>
      <c r="G13" s="25"/>
      <c r="H13" s="25"/>
      <c r="I13" s="25"/>
    </row>
    <row r="14" spans="1:9" s="17" customFormat="1" ht="20.100000000000001" customHeight="1" x14ac:dyDescent="0.25">
      <c r="A14" s="14">
        <v>4</v>
      </c>
      <c r="B14" s="15" t="s">
        <v>30</v>
      </c>
      <c r="C14" s="16" t="s">
        <v>81</v>
      </c>
      <c r="D14" s="16" t="s">
        <v>124</v>
      </c>
      <c r="E14" s="15" t="s">
        <v>163</v>
      </c>
      <c r="F14" s="27" t="s">
        <v>206</v>
      </c>
      <c r="G14" s="25"/>
      <c r="H14" s="25"/>
      <c r="I14" s="25"/>
    </row>
    <row r="15" spans="1:9" s="17" customFormat="1" ht="20.100000000000001" customHeight="1" x14ac:dyDescent="0.25">
      <c r="A15" s="14">
        <v>5</v>
      </c>
      <c r="B15" s="15" t="s">
        <v>31</v>
      </c>
      <c r="C15" s="16" t="s">
        <v>82</v>
      </c>
      <c r="D15" s="16" t="s">
        <v>124</v>
      </c>
      <c r="E15" s="15" t="s">
        <v>164</v>
      </c>
      <c r="F15" s="27" t="s">
        <v>206</v>
      </c>
      <c r="G15" s="25"/>
      <c r="H15" s="25"/>
      <c r="I15" s="25"/>
    </row>
    <row r="16" spans="1:9" s="17" customFormat="1" ht="20.100000000000001" customHeight="1" x14ac:dyDescent="0.25">
      <c r="A16" s="14">
        <v>6</v>
      </c>
      <c r="B16" s="15" t="s">
        <v>32</v>
      </c>
      <c r="C16" s="16" t="s">
        <v>83</v>
      </c>
      <c r="D16" s="16" t="s">
        <v>124</v>
      </c>
      <c r="E16" s="15" t="s">
        <v>165</v>
      </c>
      <c r="F16" s="27" t="s">
        <v>208</v>
      </c>
      <c r="G16" s="25"/>
      <c r="H16" s="25"/>
      <c r="I16" s="25"/>
    </row>
    <row r="17" spans="1:9" s="17" customFormat="1" ht="20.100000000000001" customHeight="1" x14ac:dyDescent="0.25">
      <c r="A17" s="14">
        <v>7</v>
      </c>
      <c r="B17" s="15" t="s">
        <v>33</v>
      </c>
      <c r="C17" s="16" t="s">
        <v>84</v>
      </c>
      <c r="D17" s="16" t="s">
        <v>124</v>
      </c>
      <c r="E17" s="15" t="s">
        <v>166</v>
      </c>
      <c r="F17" s="27" t="s">
        <v>206</v>
      </c>
      <c r="G17" s="25"/>
      <c r="H17" s="25"/>
      <c r="I17" s="25"/>
    </row>
    <row r="18" spans="1:9" s="17" customFormat="1" ht="20.100000000000001" customHeight="1" x14ac:dyDescent="0.25">
      <c r="A18" s="14">
        <v>8</v>
      </c>
      <c r="B18" s="15" t="s">
        <v>34</v>
      </c>
      <c r="C18" s="16" t="s">
        <v>85</v>
      </c>
      <c r="D18" s="16" t="s">
        <v>125</v>
      </c>
      <c r="E18" s="15" t="s">
        <v>167</v>
      </c>
      <c r="F18" s="27" t="s">
        <v>208</v>
      </c>
      <c r="G18" s="25"/>
      <c r="H18" s="25"/>
      <c r="I18" s="25"/>
    </row>
    <row r="19" spans="1:9" s="17" customFormat="1" ht="20.100000000000001" customHeight="1" x14ac:dyDescent="0.25">
      <c r="A19" s="14">
        <v>9</v>
      </c>
      <c r="B19" s="15" t="s">
        <v>35</v>
      </c>
      <c r="C19" s="16" t="s">
        <v>86</v>
      </c>
      <c r="D19" s="16" t="s">
        <v>126</v>
      </c>
      <c r="E19" s="15" t="s">
        <v>168</v>
      </c>
      <c r="F19" s="27" t="s">
        <v>208</v>
      </c>
      <c r="G19" s="25"/>
      <c r="H19" s="25"/>
      <c r="I19" s="25"/>
    </row>
    <row r="20" spans="1:9" s="17" customFormat="1" ht="20.100000000000001" customHeight="1" x14ac:dyDescent="0.25">
      <c r="A20" s="14">
        <v>10</v>
      </c>
      <c r="B20" s="15" t="s">
        <v>36</v>
      </c>
      <c r="C20" s="16" t="s">
        <v>87</v>
      </c>
      <c r="D20" s="16" t="s">
        <v>127</v>
      </c>
      <c r="E20" s="15" t="s">
        <v>169</v>
      </c>
      <c r="F20" s="27" t="s">
        <v>206</v>
      </c>
      <c r="G20" s="25"/>
      <c r="H20" s="25"/>
      <c r="I20" s="25"/>
    </row>
    <row r="21" spans="1:9" s="17" customFormat="1" ht="20.100000000000001" customHeight="1" x14ac:dyDescent="0.25">
      <c r="A21" s="14">
        <v>11</v>
      </c>
      <c r="B21" s="15" t="s">
        <v>37</v>
      </c>
      <c r="C21" s="16" t="s">
        <v>88</v>
      </c>
      <c r="D21" s="16" t="s">
        <v>128</v>
      </c>
      <c r="E21" s="15" t="s">
        <v>170</v>
      </c>
      <c r="F21" s="27" t="s">
        <v>209</v>
      </c>
      <c r="G21" s="25"/>
      <c r="H21" s="25"/>
      <c r="I21" s="25"/>
    </row>
    <row r="22" spans="1:9" s="17" customFormat="1" ht="20.100000000000001" customHeight="1" x14ac:dyDescent="0.25">
      <c r="A22" s="14">
        <v>12</v>
      </c>
      <c r="B22" s="15" t="s">
        <v>38</v>
      </c>
      <c r="C22" s="16" t="s">
        <v>89</v>
      </c>
      <c r="D22" s="16" t="s">
        <v>129</v>
      </c>
      <c r="E22" s="15" t="s">
        <v>171</v>
      </c>
      <c r="F22" s="27" t="s">
        <v>206</v>
      </c>
      <c r="G22" s="25"/>
      <c r="H22" s="25"/>
      <c r="I22" s="25"/>
    </row>
    <row r="23" spans="1:9" s="17" customFormat="1" ht="20.100000000000001" customHeight="1" x14ac:dyDescent="0.25">
      <c r="A23" s="14">
        <v>13</v>
      </c>
      <c r="B23" s="15" t="s">
        <v>39</v>
      </c>
      <c r="C23" s="16" t="s">
        <v>90</v>
      </c>
      <c r="D23" s="16" t="s">
        <v>130</v>
      </c>
      <c r="E23" s="15" t="s">
        <v>172</v>
      </c>
      <c r="F23" s="27" t="s">
        <v>206</v>
      </c>
      <c r="G23" s="25"/>
      <c r="H23" s="25"/>
      <c r="I23" s="25"/>
    </row>
    <row r="24" spans="1:9" s="17" customFormat="1" ht="20.100000000000001" customHeight="1" x14ac:dyDescent="0.25">
      <c r="A24" s="14">
        <v>14</v>
      </c>
      <c r="B24" s="15" t="s">
        <v>40</v>
      </c>
      <c r="C24" s="16" t="s">
        <v>87</v>
      </c>
      <c r="D24" s="16" t="s">
        <v>130</v>
      </c>
      <c r="E24" s="15" t="s">
        <v>173</v>
      </c>
      <c r="F24" s="27" t="s">
        <v>208</v>
      </c>
      <c r="G24" s="25"/>
      <c r="H24" s="25"/>
      <c r="I24" s="25"/>
    </row>
    <row r="25" spans="1:9" s="17" customFormat="1" ht="20.100000000000001" customHeight="1" x14ac:dyDescent="0.25">
      <c r="A25" s="14">
        <v>15</v>
      </c>
      <c r="B25" s="15" t="s">
        <v>41</v>
      </c>
      <c r="C25" s="16" t="s">
        <v>87</v>
      </c>
      <c r="D25" s="16" t="s">
        <v>130</v>
      </c>
      <c r="E25" s="15" t="s">
        <v>174</v>
      </c>
      <c r="F25" s="27" t="s">
        <v>208</v>
      </c>
      <c r="G25" s="25"/>
      <c r="H25" s="25"/>
      <c r="I25" s="25"/>
    </row>
    <row r="26" spans="1:9" s="17" customFormat="1" ht="20.100000000000001" customHeight="1" x14ac:dyDescent="0.25">
      <c r="A26" s="14">
        <v>16</v>
      </c>
      <c r="B26" s="15" t="s">
        <v>42</v>
      </c>
      <c r="C26" s="16" t="s">
        <v>91</v>
      </c>
      <c r="D26" s="16" t="s">
        <v>131</v>
      </c>
      <c r="E26" s="15" t="s">
        <v>175</v>
      </c>
      <c r="F26" s="27" t="s">
        <v>208</v>
      </c>
      <c r="G26" s="25"/>
      <c r="H26" s="25"/>
      <c r="I26" s="25"/>
    </row>
    <row r="27" spans="1:9" s="17" customFormat="1" ht="20.100000000000001" customHeight="1" x14ac:dyDescent="0.25">
      <c r="A27" s="14">
        <v>17</v>
      </c>
      <c r="B27" s="15" t="s">
        <v>43</v>
      </c>
      <c r="C27" s="16" t="s">
        <v>92</v>
      </c>
      <c r="D27" s="16" t="s">
        <v>132</v>
      </c>
      <c r="E27" s="15" t="s">
        <v>176</v>
      </c>
      <c r="F27" s="27" t="s">
        <v>208</v>
      </c>
      <c r="G27" s="25"/>
      <c r="H27" s="25"/>
      <c r="I27" s="25"/>
    </row>
    <row r="28" spans="1:9" s="17" customFormat="1" ht="20.100000000000001" customHeight="1" x14ac:dyDescent="0.25">
      <c r="A28" s="14">
        <v>18</v>
      </c>
      <c r="B28" s="15" t="s">
        <v>44</v>
      </c>
      <c r="C28" s="16" t="s">
        <v>93</v>
      </c>
      <c r="D28" s="16" t="s">
        <v>133</v>
      </c>
      <c r="E28" s="15" t="s">
        <v>167</v>
      </c>
      <c r="F28" s="27" t="s">
        <v>208</v>
      </c>
      <c r="G28" s="25"/>
      <c r="H28" s="25"/>
      <c r="I28" s="25"/>
    </row>
    <row r="29" spans="1:9" s="17" customFormat="1" ht="20.100000000000001" customHeight="1" x14ac:dyDescent="0.25">
      <c r="A29" s="14">
        <v>19</v>
      </c>
      <c r="B29" s="15" t="s">
        <v>45</v>
      </c>
      <c r="C29" s="16" t="s">
        <v>94</v>
      </c>
      <c r="D29" s="16" t="s">
        <v>134</v>
      </c>
      <c r="E29" s="15" t="s">
        <v>177</v>
      </c>
      <c r="F29" s="27" t="s">
        <v>208</v>
      </c>
      <c r="G29" s="25"/>
      <c r="H29" s="25"/>
      <c r="I29" s="25"/>
    </row>
    <row r="30" spans="1:9" s="17" customFormat="1" ht="20.100000000000001" customHeight="1" x14ac:dyDescent="0.25">
      <c r="A30" s="14">
        <v>20</v>
      </c>
      <c r="B30" s="15" t="s">
        <v>46</v>
      </c>
      <c r="C30" s="16" t="s">
        <v>95</v>
      </c>
      <c r="D30" s="16" t="s">
        <v>134</v>
      </c>
      <c r="E30" s="15" t="s">
        <v>178</v>
      </c>
      <c r="F30" s="27" t="s">
        <v>208</v>
      </c>
      <c r="G30" s="25"/>
      <c r="H30" s="25"/>
      <c r="I30" s="25"/>
    </row>
    <row r="31" spans="1:9" s="17" customFormat="1" ht="20.100000000000001" customHeight="1" x14ac:dyDescent="0.25">
      <c r="A31" s="14">
        <v>21</v>
      </c>
      <c r="B31" s="15" t="s">
        <v>47</v>
      </c>
      <c r="C31" s="16" t="s">
        <v>96</v>
      </c>
      <c r="D31" s="16" t="s">
        <v>135</v>
      </c>
      <c r="E31" s="15" t="s">
        <v>179</v>
      </c>
      <c r="F31" s="27" t="s">
        <v>207</v>
      </c>
      <c r="G31" s="25"/>
      <c r="H31" s="25"/>
      <c r="I31" s="25"/>
    </row>
    <row r="32" spans="1:9" s="17" customFormat="1" ht="20.100000000000001" customHeight="1" x14ac:dyDescent="0.25">
      <c r="A32" s="14">
        <v>22</v>
      </c>
      <c r="B32" s="15" t="s">
        <v>48</v>
      </c>
      <c r="C32" s="16" t="s">
        <v>97</v>
      </c>
      <c r="D32" s="16" t="s">
        <v>135</v>
      </c>
      <c r="E32" s="15" t="s">
        <v>180</v>
      </c>
      <c r="F32" s="27" t="s">
        <v>208</v>
      </c>
      <c r="G32" s="25"/>
      <c r="H32" s="25"/>
      <c r="I32" s="25"/>
    </row>
    <row r="33" spans="1:9" s="17" customFormat="1" ht="20.100000000000001" customHeight="1" x14ac:dyDescent="0.25">
      <c r="A33" s="14">
        <v>23</v>
      </c>
      <c r="B33" s="15" t="s">
        <v>49</v>
      </c>
      <c r="C33" s="16" t="s">
        <v>98</v>
      </c>
      <c r="D33" s="16" t="s">
        <v>136</v>
      </c>
      <c r="E33" s="15" t="s">
        <v>181</v>
      </c>
      <c r="F33" s="27" t="s">
        <v>208</v>
      </c>
      <c r="G33" s="25"/>
      <c r="H33" s="25"/>
      <c r="I33" s="25"/>
    </row>
    <row r="34" spans="1:9" s="17" customFormat="1" ht="20.100000000000001" customHeight="1" x14ac:dyDescent="0.25">
      <c r="A34" s="14">
        <v>24</v>
      </c>
      <c r="B34" s="15" t="s">
        <v>50</v>
      </c>
      <c r="C34" s="16" t="s">
        <v>99</v>
      </c>
      <c r="D34" s="16" t="s">
        <v>136</v>
      </c>
      <c r="E34" s="15" t="s">
        <v>182</v>
      </c>
      <c r="F34" s="27" t="s">
        <v>208</v>
      </c>
      <c r="G34" s="25"/>
      <c r="H34" s="25"/>
      <c r="I34" s="25"/>
    </row>
    <row r="35" spans="1:9" s="17" customFormat="1" ht="20.100000000000001" customHeight="1" x14ac:dyDescent="0.25">
      <c r="A35" s="14">
        <v>25</v>
      </c>
      <c r="B35" s="15" t="s">
        <v>51</v>
      </c>
      <c r="C35" s="16" t="s">
        <v>100</v>
      </c>
      <c r="D35" s="16" t="s">
        <v>137</v>
      </c>
      <c r="E35" s="15" t="s">
        <v>183</v>
      </c>
      <c r="F35" s="27" t="s">
        <v>206</v>
      </c>
      <c r="G35" s="25"/>
      <c r="H35" s="25"/>
      <c r="I35" s="25"/>
    </row>
    <row r="36" spans="1:9" s="17" customFormat="1" ht="20.100000000000001" customHeight="1" x14ac:dyDescent="0.25">
      <c r="A36" s="14">
        <v>26</v>
      </c>
      <c r="B36" s="15" t="s">
        <v>52</v>
      </c>
      <c r="C36" s="16" t="s">
        <v>101</v>
      </c>
      <c r="D36" s="16" t="s">
        <v>138</v>
      </c>
      <c r="E36" s="15" t="s">
        <v>184</v>
      </c>
      <c r="F36" s="27" t="s">
        <v>206</v>
      </c>
      <c r="G36" s="25"/>
      <c r="H36" s="25"/>
      <c r="I36" s="25"/>
    </row>
    <row r="37" spans="1:9" s="17" customFormat="1" ht="20.100000000000001" customHeight="1" x14ac:dyDescent="0.25">
      <c r="A37" s="14">
        <v>27</v>
      </c>
      <c r="B37" s="15" t="s">
        <v>53</v>
      </c>
      <c r="C37" s="16" t="s">
        <v>102</v>
      </c>
      <c r="D37" s="16" t="s">
        <v>139</v>
      </c>
      <c r="E37" s="15" t="s">
        <v>185</v>
      </c>
      <c r="F37" s="27" t="s">
        <v>208</v>
      </c>
      <c r="G37" s="25"/>
      <c r="H37" s="25"/>
      <c r="I37" s="25"/>
    </row>
    <row r="38" spans="1:9" s="17" customFormat="1" ht="20.100000000000001" customHeight="1" x14ac:dyDescent="0.25">
      <c r="A38" s="14">
        <v>28</v>
      </c>
      <c r="B38" s="15" t="s">
        <v>54</v>
      </c>
      <c r="C38" s="16" t="s">
        <v>103</v>
      </c>
      <c r="D38" s="16" t="s">
        <v>140</v>
      </c>
      <c r="E38" s="15" t="s">
        <v>186</v>
      </c>
      <c r="F38" s="27" t="s">
        <v>206</v>
      </c>
      <c r="G38" s="25"/>
      <c r="H38" s="25"/>
      <c r="I38" s="25"/>
    </row>
    <row r="39" spans="1:9" s="17" customFormat="1" ht="20.100000000000001" customHeight="1" x14ac:dyDescent="0.25">
      <c r="A39" s="14">
        <v>29</v>
      </c>
      <c r="B39" s="15" t="s">
        <v>55</v>
      </c>
      <c r="C39" s="16" t="s">
        <v>104</v>
      </c>
      <c r="D39" s="16" t="s">
        <v>141</v>
      </c>
      <c r="E39" s="15" t="s">
        <v>187</v>
      </c>
      <c r="F39" s="27" t="s">
        <v>208</v>
      </c>
      <c r="G39" s="25"/>
      <c r="H39" s="25"/>
      <c r="I39" s="25"/>
    </row>
    <row r="40" spans="1:9" s="17" customFormat="1" ht="20.100000000000001" customHeight="1" x14ac:dyDescent="0.25">
      <c r="A40" s="14">
        <v>30</v>
      </c>
      <c r="B40" s="15" t="s">
        <v>56</v>
      </c>
      <c r="C40" s="16" t="s">
        <v>105</v>
      </c>
      <c r="D40" s="16" t="s">
        <v>142</v>
      </c>
      <c r="E40" s="15" t="s">
        <v>188</v>
      </c>
      <c r="F40" s="27" t="s">
        <v>206</v>
      </c>
      <c r="G40" s="25"/>
      <c r="H40" s="25"/>
      <c r="I40" s="25"/>
    </row>
    <row r="41" spans="1:9" s="17" customFormat="1" ht="20.100000000000001" customHeight="1" x14ac:dyDescent="0.25">
      <c r="A41" s="14">
        <v>31</v>
      </c>
      <c r="B41" s="15" t="s">
        <v>57</v>
      </c>
      <c r="C41" s="16" t="s">
        <v>106</v>
      </c>
      <c r="D41" s="16" t="s">
        <v>142</v>
      </c>
      <c r="E41" s="15" t="s">
        <v>189</v>
      </c>
      <c r="F41" s="27" t="s">
        <v>208</v>
      </c>
      <c r="G41" s="25"/>
      <c r="H41" s="25"/>
      <c r="I41" s="25"/>
    </row>
    <row r="42" spans="1:9" s="17" customFormat="1" ht="20.100000000000001" customHeight="1" x14ac:dyDescent="0.25">
      <c r="A42" s="14">
        <v>32</v>
      </c>
      <c r="B42" s="15" t="s">
        <v>58</v>
      </c>
      <c r="C42" s="16" t="s">
        <v>107</v>
      </c>
      <c r="D42" s="16" t="s">
        <v>143</v>
      </c>
      <c r="E42" s="15" t="s">
        <v>190</v>
      </c>
      <c r="F42" s="27" t="s">
        <v>208</v>
      </c>
      <c r="G42" s="25"/>
      <c r="H42" s="25"/>
      <c r="I42" s="25"/>
    </row>
    <row r="43" spans="1:9" s="17" customFormat="1" ht="20.100000000000001" customHeight="1" x14ac:dyDescent="0.25">
      <c r="A43" s="14">
        <v>33</v>
      </c>
      <c r="B43" s="15" t="s">
        <v>59</v>
      </c>
      <c r="C43" s="16" t="s">
        <v>108</v>
      </c>
      <c r="D43" s="16" t="s">
        <v>144</v>
      </c>
      <c r="E43" s="15" t="s">
        <v>191</v>
      </c>
      <c r="F43" s="27" t="s">
        <v>208</v>
      </c>
      <c r="G43" s="25"/>
      <c r="H43" s="25"/>
      <c r="I43" s="25"/>
    </row>
    <row r="44" spans="1:9" s="17" customFormat="1" ht="20.100000000000001" customHeight="1" x14ac:dyDescent="0.25">
      <c r="A44" s="14">
        <v>34</v>
      </c>
      <c r="B44" s="15" t="s">
        <v>60</v>
      </c>
      <c r="C44" s="16" t="s">
        <v>105</v>
      </c>
      <c r="D44" s="16" t="s">
        <v>145</v>
      </c>
      <c r="E44" s="15" t="s">
        <v>192</v>
      </c>
      <c r="F44" s="27" t="s">
        <v>206</v>
      </c>
      <c r="G44" s="25"/>
      <c r="H44" s="25"/>
      <c r="I44" s="25"/>
    </row>
    <row r="45" spans="1:9" s="17" customFormat="1" ht="20.100000000000001" customHeight="1" x14ac:dyDescent="0.25">
      <c r="A45" s="14">
        <v>35</v>
      </c>
      <c r="B45" s="15" t="s">
        <v>61</v>
      </c>
      <c r="C45" s="16" t="s">
        <v>109</v>
      </c>
      <c r="D45" s="16" t="s">
        <v>146</v>
      </c>
      <c r="E45" s="15" t="s">
        <v>193</v>
      </c>
      <c r="F45" s="27" t="s">
        <v>208</v>
      </c>
      <c r="G45" s="25"/>
      <c r="H45" s="25"/>
      <c r="I45" s="25"/>
    </row>
    <row r="46" spans="1:9" s="17" customFormat="1" ht="20.100000000000001" customHeight="1" x14ac:dyDescent="0.25">
      <c r="A46" s="14">
        <v>36</v>
      </c>
      <c r="B46" s="15" t="s">
        <v>62</v>
      </c>
      <c r="C46" s="16" t="s">
        <v>109</v>
      </c>
      <c r="D46" s="16" t="s">
        <v>146</v>
      </c>
      <c r="E46" s="15" t="s">
        <v>194</v>
      </c>
      <c r="F46" s="27" t="s">
        <v>208</v>
      </c>
      <c r="G46" s="25"/>
      <c r="H46" s="25"/>
      <c r="I46" s="25"/>
    </row>
    <row r="47" spans="1:9" s="17" customFormat="1" ht="20.100000000000001" customHeight="1" x14ac:dyDescent="0.25">
      <c r="A47" s="14">
        <v>37</v>
      </c>
      <c r="B47" s="15" t="s">
        <v>63</v>
      </c>
      <c r="C47" s="16" t="s">
        <v>110</v>
      </c>
      <c r="D47" s="16" t="s">
        <v>147</v>
      </c>
      <c r="E47" s="15" t="s">
        <v>195</v>
      </c>
      <c r="F47" s="27" t="s">
        <v>207</v>
      </c>
      <c r="G47" s="25"/>
      <c r="H47" s="25"/>
      <c r="I47" s="25"/>
    </row>
    <row r="48" spans="1:9" s="17" customFormat="1" ht="20.100000000000001" customHeight="1" x14ac:dyDescent="0.25">
      <c r="A48" s="14">
        <v>38</v>
      </c>
      <c r="B48" s="15" t="s">
        <v>64</v>
      </c>
      <c r="C48" s="16" t="s">
        <v>111</v>
      </c>
      <c r="D48" s="16" t="s">
        <v>148</v>
      </c>
      <c r="E48" s="15" t="s">
        <v>161</v>
      </c>
      <c r="F48" s="27" t="s">
        <v>208</v>
      </c>
      <c r="G48" s="25"/>
      <c r="H48" s="25"/>
      <c r="I48" s="25"/>
    </row>
    <row r="49" spans="1:9" s="17" customFormat="1" ht="20.100000000000001" customHeight="1" x14ac:dyDescent="0.25">
      <c r="A49" s="14">
        <v>39</v>
      </c>
      <c r="B49" s="15" t="s">
        <v>65</v>
      </c>
      <c r="C49" s="16" t="s">
        <v>112</v>
      </c>
      <c r="D49" s="16" t="s">
        <v>149</v>
      </c>
      <c r="E49" s="15" t="s">
        <v>196</v>
      </c>
      <c r="F49" s="27" t="s">
        <v>207</v>
      </c>
      <c r="G49" s="25"/>
      <c r="H49" s="25"/>
      <c r="I49" s="25"/>
    </row>
    <row r="50" spans="1:9" s="17" customFormat="1" ht="20.100000000000001" customHeight="1" x14ac:dyDescent="0.25">
      <c r="A50" s="14">
        <v>40</v>
      </c>
      <c r="B50" s="15" t="s">
        <v>66</v>
      </c>
      <c r="C50" s="16" t="s">
        <v>113</v>
      </c>
      <c r="D50" s="16" t="s">
        <v>150</v>
      </c>
      <c r="E50" s="15" t="s">
        <v>197</v>
      </c>
      <c r="F50" s="27" t="s">
        <v>208</v>
      </c>
      <c r="G50" s="25"/>
      <c r="H50" s="25"/>
      <c r="I50" s="25"/>
    </row>
    <row r="51" spans="1:9" s="17" customFormat="1" ht="20.100000000000001" customHeight="1" x14ac:dyDescent="0.25">
      <c r="A51" s="14">
        <v>41</v>
      </c>
      <c r="B51" s="15" t="s">
        <v>67</v>
      </c>
      <c r="C51" s="16" t="s">
        <v>114</v>
      </c>
      <c r="D51" s="16" t="s">
        <v>151</v>
      </c>
      <c r="E51" s="15" t="s">
        <v>198</v>
      </c>
      <c r="F51" s="27" t="s">
        <v>208</v>
      </c>
      <c r="G51" s="25"/>
      <c r="H51" s="25"/>
      <c r="I51" s="25"/>
    </row>
    <row r="52" spans="1:9" s="17" customFormat="1" ht="20.100000000000001" customHeight="1" x14ac:dyDescent="0.25">
      <c r="A52" s="14">
        <v>42</v>
      </c>
      <c r="B52" s="15" t="s">
        <v>68</v>
      </c>
      <c r="C52" s="16" t="s">
        <v>115</v>
      </c>
      <c r="D52" s="16" t="s">
        <v>152</v>
      </c>
      <c r="E52" s="15" t="s">
        <v>199</v>
      </c>
      <c r="F52" s="27" t="s">
        <v>208</v>
      </c>
      <c r="G52" s="25"/>
      <c r="H52" s="25"/>
      <c r="I52" s="25"/>
    </row>
    <row r="53" spans="1:9" s="17" customFormat="1" ht="20.100000000000001" customHeight="1" x14ac:dyDescent="0.25">
      <c r="A53" s="14">
        <v>43</v>
      </c>
      <c r="B53" s="15" t="s">
        <v>69</v>
      </c>
      <c r="C53" s="16" t="s">
        <v>116</v>
      </c>
      <c r="D53" s="16" t="s">
        <v>153</v>
      </c>
      <c r="E53" s="15" t="s">
        <v>166</v>
      </c>
      <c r="F53" s="27" t="s">
        <v>208</v>
      </c>
      <c r="G53" s="25"/>
      <c r="H53" s="25"/>
      <c r="I53" s="25"/>
    </row>
    <row r="54" spans="1:9" s="17" customFormat="1" ht="20.100000000000001" customHeight="1" x14ac:dyDescent="0.25">
      <c r="A54" s="14">
        <v>44</v>
      </c>
      <c r="B54" s="15" t="s">
        <v>70</v>
      </c>
      <c r="C54" s="16" t="s">
        <v>113</v>
      </c>
      <c r="D54" s="16" t="s">
        <v>153</v>
      </c>
      <c r="E54" s="15" t="s">
        <v>187</v>
      </c>
      <c r="F54" s="27" t="s">
        <v>208</v>
      </c>
      <c r="G54" s="25"/>
      <c r="H54" s="25"/>
      <c r="I54" s="25"/>
    </row>
    <row r="55" spans="1:9" s="17" customFormat="1" ht="20.100000000000001" customHeight="1" x14ac:dyDescent="0.25">
      <c r="A55" s="14">
        <v>45</v>
      </c>
      <c r="B55" s="15" t="s">
        <v>71</v>
      </c>
      <c r="C55" s="16" t="s">
        <v>117</v>
      </c>
      <c r="D55" s="16" t="s">
        <v>154</v>
      </c>
      <c r="E55" s="15" t="s">
        <v>200</v>
      </c>
      <c r="F55" s="27" t="s">
        <v>206</v>
      </c>
      <c r="G55" s="25"/>
      <c r="H55" s="25"/>
      <c r="I55" s="25"/>
    </row>
    <row r="56" spans="1:9" s="17" customFormat="1" ht="20.100000000000001" customHeight="1" x14ac:dyDescent="0.25">
      <c r="A56" s="14">
        <v>46</v>
      </c>
      <c r="B56" s="15" t="s">
        <v>72</v>
      </c>
      <c r="C56" s="16" t="s">
        <v>118</v>
      </c>
      <c r="D56" s="16" t="s">
        <v>155</v>
      </c>
      <c r="E56" s="15" t="s">
        <v>201</v>
      </c>
      <c r="F56" s="27" t="s">
        <v>206</v>
      </c>
      <c r="G56" s="25"/>
      <c r="H56" s="25"/>
      <c r="I56" s="25"/>
    </row>
    <row r="57" spans="1:9" s="17" customFormat="1" ht="20.100000000000001" customHeight="1" x14ac:dyDescent="0.25">
      <c r="A57" s="14">
        <v>47</v>
      </c>
      <c r="B57" s="15" t="s">
        <v>73</v>
      </c>
      <c r="C57" s="16" t="s">
        <v>119</v>
      </c>
      <c r="D57" s="16" t="s">
        <v>156</v>
      </c>
      <c r="E57" s="15" t="s">
        <v>202</v>
      </c>
      <c r="F57" s="27" t="s">
        <v>206</v>
      </c>
      <c r="G57" s="25"/>
      <c r="H57" s="25"/>
      <c r="I57" s="25"/>
    </row>
    <row r="58" spans="1:9" s="17" customFormat="1" ht="20.100000000000001" customHeight="1" x14ac:dyDescent="0.25">
      <c r="A58" s="14">
        <v>48</v>
      </c>
      <c r="B58" s="15" t="s">
        <v>74</v>
      </c>
      <c r="C58" s="16" t="s">
        <v>120</v>
      </c>
      <c r="D58" s="16" t="s">
        <v>156</v>
      </c>
      <c r="E58" s="15" t="s">
        <v>191</v>
      </c>
      <c r="F58" s="27" t="s">
        <v>208</v>
      </c>
      <c r="G58" s="25"/>
      <c r="H58" s="25"/>
      <c r="I58" s="25"/>
    </row>
    <row r="59" spans="1:9" s="17" customFormat="1" ht="20.100000000000001" customHeight="1" x14ac:dyDescent="0.25">
      <c r="A59" s="14">
        <v>49</v>
      </c>
      <c r="B59" s="15" t="s">
        <v>75</v>
      </c>
      <c r="C59" s="16" t="s">
        <v>121</v>
      </c>
      <c r="D59" s="16" t="s">
        <v>157</v>
      </c>
      <c r="E59" s="15" t="s">
        <v>203</v>
      </c>
      <c r="F59" s="27" t="s">
        <v>208</v>
      </c>
      <c r="G59" s="25"/>
      <c r="H59" s="25"/>
      <c r="I59" s="25"/>
    </row>
    <row r="60" spans="1:9" s="17" customFormat="1" ht="20.100000000000001" customHeight="1" x14ac:dyDescent="0.25">
      <c r="A60" s="14">
        <v>50</v>
      </c>
      <c r="B60" s="15" t="s">
        <v>76</v>
      </c>
      <c r="C60" s="16" t="s">
        <v>122</v>
      </c>
      <c r="D60" s="16" t="s">
        <v>158</v>
      </c>
      <c r="E60" s="15" t="s">
        <v>204</v>
      </c>
      <c r="F60" s="27" t="s">
        <v>208</v>
      </c>
      <c r="G60" s="25"/>
      <c r="H60" s="25"/>
      <c r="I60" s="25"/>
    </row>
    <row r="61" spans="1:9" s="17" customFormat="1" ht="20.100000000000001" customHeight="1" x14ac:dyDescent="0.25">
      <c r="A61" s="14">
        <v>51</v>
      </c>
      <c r="B61" s="15" t="s">
        <v>77</v>
      </c>
      <c r="C61" s="16" t="s">
        <v>123</v>
      </c>
      <c r="D61" s="16" t="s">
        <v>159</v>
      </c>
      <c r="E61" s="15" t="s">
        <v>205</v>
      </c>
      <c r="F61" s="27" t="s">
        <v>208</v>
      </c>
      <c r="G61" s="25"/>
      <c r="H61" s="25"/>
      <c r="I61" s="25"/>
    </row>
    <row r="62" spans="1:9" s="18" customFormat="1" ht="17.25" customHeight="1" thickBot="1" x14ac:dyDescent="0.3">
      <c r="A62" s="51" t="s">
        <v>6</v>
      </c>
      <c r="B62" s="52"/>
      <c r="C62" s="19">
        <f>COUNTA(C11:C61)</f>
        <v>51</v>
      </c>
      <c r="D62" s="20"/>
      <c r="E62" s="21"/>
      <c r="F62" s="21"/>
      <c r="G62" s="24">
        <f>SUM(G11:G61)</f>
        <v>0</v>
      </c>
      <c r="H62" s="24">
        <f>SUM(H11:H61)</f>
        <v>0</v>
      </c>
      <c r="I62" s="24">
        <f>SUM(I11:I61)</f>
        <v>0</v>
      </c>
    </row>
    <row r="63" spans="1:9" s="7" customFormat="1" ht="15" customHeight="1" x14ac:dyDescent="0.25">
      <c r="A63" s="5"/>
      <c r="B63" s="10"/>
      <c r="F63" s="50"/>
      <c r="G63" s="50"/>
      <c r="H63" s="50"/>
      <c r="I63" s="50"/>
    </row>
    <row r="64" spans="1:9" s="7" customFormat="1" ht="15" customHeight="1" x14ac:dyDescent="0.25">
      <c r="A64" s="5"/>
      <c r="B64" s="29" t="s">
        <v>22</v>
      </c>
      <c r="F64" s="48"/>
      <c r="G64" s="48"/>
      <c r="H64" s="48"/>
      <c r="I64" s="48"/>
    </row>
    <row r="65" spans="1:9" s="7" customFormat="1" ht="15.75" x14ac:dyDescent="0.25">
      <c r="A65" s="5"/>
      <c r="B65" s="30" t="s">
        <v>23</v>
      </c>
      <c r="G65" s="22"/>
      <c r="H65" s="22"/>
      <c r="I65" s="22"/>
    </row>
    <row r="66" spans="1:9" s="7" customFormat="1" ht="15.75" x14ac:dyDescent="0.25">
      <c r="A66" s="5"/>
      <c r="B66" s="30" t="s">
        <v>24</v>
      </c>
      <c r="G66" s="22"/>
      <c r="H66" s="22"/>
      <c r="I66" s="22"/>
    </row>
    <row r="67" spans="1:9" s="7" customFormat="1" ht="15" customHeight="1" x14ac:dyDescent="0.25">
      <c r="A67" s="5"/>
      <c r="B67" s="30" t="s">
        <v>25</v>
      </c>
      <c r="F67" s="41"/>
      <c r="G67" s="41"/>
      <c r="H67" s="41"/>
      <c r="I67" s="41"/>
    </row>
    <row r="70" spans="1:9" ht="15.75" customHeight="1" x14ac:dyDescent="0.2">
      <c r="C70" s="31" t="s">
        <v>18</v>
      </c>
      <c r="F70" s="31" t="s">
        <v>19</v>
      </c>
    </row>
    <row r="71" spans="1:9" x14ac:dyDescent="0.2">
      <c r="C71" s="28" t="s">
        <v>21</v>
      </c>
      <c r="F71" s="28" t="s">
        <v>21</v>
      </c>
    </row>
    <row r="72" spans="1:9" x14ac:dyDescent="0.2">
      <c r="C72" s="28"/>
    </row>
    <row r="81" spans="3:6" ht="15.75" x14ac:dyDescent="0.25">
      <c r="C81" s="31" t="s">
        <v>27</v>
      </c>
      <c r="F81" s="32" t="s">
        <v>20</v>
      </c>
    </row>
    <row r="82" spans="3:6" x14ac:dyDescent="0.2">
      <c r="C82" s="28" t="s">
        <v>21</v>
      </c>
      <c r="F82" s="28" t="s">
        <v>21</v>
      </c>
    </row>
  </sheetData>
  <sheetProtection password="8DA0" sheet="1" objects="1" scenarios="1" formatColumns="0" formatRows="0"/>
  <mergeCells count="15">
    <mergeCell ref="B4:I4"/>
    <mergeCell ref="F67:I67"/>
    <mergeCell ref="F9:F10"/>
    <mergeCell ref="D9:D10"/>
    <mergeCell ref="B8:F8"/>
    <mergeCell ref="B9:B10"/>
    <mergeCell ref="A5:I5"/>
    <mergeCell ref="F64:I64"/>
    <mergeCell ref="I8"/>
    <mergeCell ref="F63:I63"/>
    <mergeCell ref="A62:B62"/>
    <mergeCell ref="A8:A10"/>
    <mergeCell ref="C9:C10"/>
    <mergeCell ref="E9:E10"/>
    <mergeCell ref="G8:H8"/>
  </mergeCells>
  <phoneticPr fontId="0" type="noConversion"/>
  <conditionalFormatting sqref="A11:I61">
    <cfRule type="expression" dxfId="0" priority="1" stopIfTrue="1">
      <formula>IF(MOD($A11,2)=0,TRUE,FALSE)</formula>
    </cfRule>
  </conditionalFormatting>
  <pageMargins left="0" right="0" top="0" bottom="0" header="0.31496062992126" footer="0.31496062992126"/>
  <pageSetup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09B3-87A4-4BB9-B143-2F32489C7EC6}">
  <dimension ref="A1:W53"/>
  <sheetViews>
    <sheetView tabSelected="1" topLeftCell="D1" workbookViewId="0">
      <selection activeCell="U3" sqref="U3"/>
    </sheetView>
  </sheetViews>
  <sheetFormatPr defaultRowHeight="15" x14ac:dyDescent="0.25"/>
  <cols>
    <col min="1" max="1" width="4.7109375" style="34" customWidth="1"/>
    <col min="3" max="3" width="18.140625" customWidth="1"/>
    <col min="5" max="20" width="9.140625" style="34"/>
    <col min="21" max="21" width="10.140625" style="34" customWidth="1"/>
    <col min="22" max="23" width="9.140625" style="34"/>
  </cols>
  <sheetData>
    <row r="1" spans="1:23" s="33" customFormat="1" x14ac:dyDescent="0.25">
      <c r="A1" s="60" t="s">
        <v>0</v>
      </c>
      <c r="B1" s="60" t="s">
        <v>210</v>
      </c>
      <c r="C1" s="60" t="s">
        <v>2</v>
      </c>
      <c r="D1" s="60" t="s">
        <v>3</v>
      </c>
      <c r="E1" s="56" t="s">
        <v>211</v>
      </c>
      <c r="F1" s="57"/>
      <c r="G1" s="56" t="s">
        <v>212</v>
      </c>
      <c r="H1" s="57"/>
      <c r="I1" s="56" t="s">
        <v>214</v>
      </c>
      <c r="J1" s="57"/>
      <c r="K1" s="57"/>
      <c r="L1" s="56" t="s">
        <v>213</v>
      </c>
      <c r="M1" s="57"/>
      <c r="N1" s="57"/>
      <c r="O1" s="56" t="s">
        <v>244</v>
      </c>
      <c r="P1" s="57"/>
      <c r="Q1" s="57"/>
      <c r="R1" s="56" t="s">
        <v>248</v>
      </c>
      <c r="S1" s="57"/>
      <c r="T1" s="57"/>
      <c r="U1" s="58" t="s">
        <v>245</v>
      </c>
      <c r="V1" s="58" t="s">
        <v>246</v>
      </c>
      <c r="W1" s="58" t="s">
        <v>247</v>
      </c>
    </row>
    <row r="2" spans="1:23" s="33" customFormat="1" x14ac:dyDescent="0.25">
      <c r="A2" s="59"/>
      <c r="B2" s="59"/>
      <c r="C2" s="59"/>
      <c r="D2" s="59"/>
      <c r="E2" s="33" t="s">
        <v>215</v>
      </c>
      <c r="F2" s="37" t="s">
        <v>238</v>
      </c>
      <c r="G2" s="33" t="s">
        <v>216</v>
      </c>
      <c r="H2" s="37" t="s">
        <v>238</v>
      </c>
      <c r="I2" s="33" t="s">
        <v>215</v>
      </c>
      <c r="J2" s="33" t="s">
        <v>217</v>
      </c>
      <c r="K2" s="37" t="s">
        <v>238</v>
      </c>
      <c r="L2" s="33" t="s">
        <v>215</v>
      </c>
      <c r="M2" s="33" t="s">
        <v>216</v>
      </c>
      <c r="N2" s="37" t="s">
        <v>238</v>
      </c>
      <c r="O2" s="33" t="s">
        <v>215</v>
      </c>
      <c r="P2" s="33" t="s">
        <v>216</v>
      </c>
      <c r="Q2" s="33" t="s">
        <v>217</v>
      </c>
      <c r="R2" s="33" t="s">
        <v>215</v>
      </c>
      <c r="S2" s="33" t="s">
        <v>216</v>
      </c>
      <c r="T2" s="33" t="s">
        <v>217</v>
      </c>
      <c r="U2" s="59"/>
      <c r="V2" s="59"/>
      <c r="W2" s="59"/>
    </row>
    <row r="3" spans="1:23" x14ac:dyDescent="0.25">
      <c r="A3" s="34">
        <v>1</v>
      </c>
      <c r="B3" t="s">
        <v>16</v>
      </c>
      <c r="C3" t="s">
        <v>78</v>
      </c>
      <c r="D3" t="s">
        <v>124</v>
      </c>
      <c r="E3" s="34">
        <v>1</v>
      </c>
      <c r="F3" s="38">
        <v>1</v>
      </c>
      <c r="G3" s="34">
        <v>2</v>
      </c>
      <c r="H3" s="38">
        <v>2</v>
      </c>
      <c r="I3" s="34">
        <v>3</v>
      </c>
      <c r="J3" s="34">
        <v>4</v>
      </c>
      <c r="K3" s="38">
        <v>3.8</v>
      </c>
      <c r="L3" s="34">
        <v>5</v>
      </c>
      <c r="M3" s="34">
        <v>6</v>
      </c>
      <c r="N3" s="38">
        <v>5.6</v>
      </c>
      <c r="O3" s="39">
        <v>3.8</v>
      </c>
      <c r="P3" s="39">
        <v>4.8</v>
      </c>
      <c r="Q3" s="39">
        <v>4</v>
      </c>
      <c r="R3" s="34" t="s">
        <v>222</v>
      </c>
      <c r="S3" s="34" t="s">
        <v>223</v>
      </c>
      <c r="T3" s="34" t="s">
        <v>223</v>
      </c>
      <c r="U3" s="62">
        <v>4</v>
      </c>
      <c r="V3" s="34" t="s">
        <v>249</v>
      </c>
      <c r="W3" s="34" t="s">
        <v>234</v>
      </c>
    </row>
    <row r="4" spans="1:23" x14ac:dyDescent="0.25">
      <c r="A4" s="34">
        <v>2</v>
      </c>
      <c r="B4" t="s">
        <v>28</v>
      </c>
      <c r="C4" t="s">
        <v>79</v>
      </c>
      <c r="D4" t="s">
        <v>124</v>
      </c>
    </row>
    <row r="5" spans="1:23" x14ac:dyDescent="0.25">
      <c r="A5" s="34">
        <v>3</v>
      </c>
      <c r="B5" t="s">
        <v>29</v>
      </c>
      <c r="C5" t="s">
        <v>80</v>
      </c>
      <c r="D5" t="s">
        <v>124</v>
      </c>
      <c r="E5" s="34">
        <v>5.2</v>
      </c>
      <c r="G5" s="34">
        <v>5.6</v>
      </c>
      <c r="I5" s="34">
        <v>10</v>
      </c>
      <c r="J5" s="34">
        <v>9.5</v>
      </c>
      <c r="L5" s="34">
        <v>9.3000000000000007</v>
      </c>
      <c r="M5" s="34">
        <v>6.4</v>
      </c>
    </row>
    <row r="6" spans="1:23" x14ac:dyDescent="0.25">
      <c r="A6" s="34">
        <v>4</v>
      </c>
      <c r="B6" t="s">
        <v>30</v>
      </c>
      <c r="C6" t="s">
        <v>81</v>
      </c>
      <c r="D6" t="s">
        <v>124</v>
      </c>
      <c r="E6" s="34">
        <v>7.5</v>
      </c>
      <c r="G6" s="34">
        <v>5.5</v>
      </c>
      <c r="I6" s="34">
        <v>10</v>
      </c>
      <c r="J6" s="34">
        <v>5.3</v>
      </c>
      <c r="L6" s="34">
        <v>10</v>
      </c>
      <c r="M6" s="34">
        <v>7.6</v>
      </c>
    </row>
    <row r="7" spans="1:23" x14ac:dyDescent="0.25">
      <c r="A7" s="34">
        <v>5</v>
      </c>
      <c r="B7" t="s">
        <v>31</v>
      </c>
      <c r="C7" t="s">
        <v>82</v>
      </c>
      <c r="D7" t="s">
        <v>124</v>
      </c>
      <c r="E7" s="34">
        <v>4</v>
      </c>
      <c r="G7" s="34">
        <v>5</v>
      </c>
      <c r="I7" s="34">
        <v>4.8</v>
      </c>
      <c r="J7" s="34">
        <v>5.9</v>
      </c>
      <c r="L7" s="34">
        <v>6.5</v>
      </c>
      <c r="M7" s="34">
        <v>6.1</v>
      </c>
    </row>
    <row r="8" spans="1:23" x14ac:dyDescent="0.25">
      <c r="A8" s="34">
        <v>6</v>
      </c>
      <c r="B8" t="s">
        <v>32</v>
      </c>
      <c r="C8" t="s">
        <v>83</v>
      </c>
      <c r="D8" t="s">
        <v>124</v>
      </c>
      <c r="E8" s="34">
        <v>7.7</v>
      </c>
      <c r="G8" s="34">
        <v>7.5</v>
      </c>
      <c r="I8" s="34">
        <v>6.8</v>
      </c>
      <c r="J8" s="34">
        <v>10</v>
      </c>
      <c r="L8" s="34">
        <v>7.1</v>
      </c>
      <c r="M8" s="34">
        <v>8.5</v>
      </c>
    </row>
    <row r="9" spans="1:23" x14ac:dyDescent="0.25">
      <c r="A9" s="34">
        <v>7</v>
      </c>
      <c r="B9" t="s">
        <v>33</v>
      </c>
      <c r="C9" t="s">
        <v>84</v>
      </c>
      <c r="D9" t="s">
        <v>124</v>
      </c>
      <c r="E9" s="34">
        <v>10</v>
      </c>
      <c r="G9" s="34">
        <v>8.1999999999999993</v>
      </c>
      <c r="I9" s="34">
        <v>7</v>
      </c>
      <c r="J9" s="34">
        <v>7.5</v>
      </c>
      <c r="L9" s="34">
        <v>7</v>
      </c>
      <c r="M9" s="34">
        <v>9.1999999999999993</v>
      </c>
    </row>
    <row r="10" spans="1:23" x14ac:dyDescent="0.25">
      <c r="A10" s="34">
        <v>8</v>
      </c>
      <c r="B10" t="s">
        <v>34</v>
      </c>
      <c r="C10" t="s">
        <v>85</v>
      </c>
      <c r="D10" t="s">
        <v>125</v>
      </c>
      <c r="E10" s="34">
        <v>7.4</v>
      </c>
      <c r="G10" s="34">
        <v>6.3</v>
      </c>
      <c r="I10" s="34">
        <v>7.1</v>
      </c>
      <c r="J10" s="34">
        <v>7.7</v>
      </c>
      <c r="L10" s="34">
        <v>2.2000000000000002</v>
      </c>
      <c r="M10" s="34">
        <v>8.3000000000000007</v>
      </c>
    </row>
    <row r="11" spans="1:23" x14ac:dyDescent="0.25">
      <c r="A11" s="34">
        <v>9</v>
      </c>
      <c r="B11" t="s">
        <v>35</v>
      </c>
      <c r="C11" t="s">
        <v>86</v>
      </c>
      <c r="D11" t="s">
        <v>126</v>
      </c>
      <c r="E11" s="34">
        <v>6.7</v>
      </c>
      <c r="G11" s="34">
        <v>6.7</v>
      </c>
      <c r="I11" s="34">
        <v>4.4000000000000004</v>
      </c>
      <c r="J11" s="34">
        <v>4.4000000000000004</v>
      </c>
      <c r="L11" s="34">
        <v>4.8</v>
      </c>
      <c r="M11" s="34">
        <v>6.5</v>
      </c>
    </row>
    <row r="12" spans="1:23" x14ac:dyDescent="0.25">
      <c r="A12" s="34">
        <v>10</v>
      </c>
      <c r="B12" t="s">
        <v>36</v>
      </c>
      <c r="C12" t="s">
        <v>87</v>
      </c>
      <c r="D12" t="s">
        <v>127</v>
      </c>
      <c r="E12" s="34">
        <v>9.1999999999999993</v>
      </c>
      <c r="G12" s="34">
        <v>4.5</v>
      </c>
      <c r="I12" s="34">
        <v>10</v>
      </c>
      <c r="J12" s="34">
        <v>7.9</v>
      </c>
      <c r="L12" s="34">
        <v>7.5</v>
      </c>
      <c r="M12" s="34">
        <v>8.6</v>
      </c>
    </row>
    <row r="13" spans="1:23" x14ac:dyDescent="0.25">
      <c r="A13" s="34">
        <v>11</v>
      </c>
      <c r="B13" t="s">
        <v>37</v>
      </c>
      <c r="C13" t="s">
        <v>88</v>
      </c>
      <c r="D13" t="s">
        <v>128</v>
      </c>
      <c r="E13" s="34">
        <v>6.1</v>
      </c>
      <c r="G13" s="34">
        <v>7.5</v>
      </c>
      <c r="I13" s="34">
        <v>6.5</v>
      </c>
      <c r="J13" s="34">
        <v>6.5</v>
      </c>
      <c r="L13" s="34">
        <v>2.2999999999999998</v>
      </c>
      <c r="M13" s="34">
        <v>7.9</v>
      </c>
    </row>
    <row r="14" spans="1:23" x14ac:dyDescent="0.25">
      <c r="A14" s="34">
        <v>12</v>
      </c>
      <c r="B14" t="s">
        <v>38</v>
      </c>
      <c r="C14" t="s">
        <v>89</v>
      </c>
      <c r="D14" t="s">
        <v>129</v>
      </c>
      <c r="E14" s="34">
        <v>4.3</v>
      </c>
      <c r="G14" s="34">
        <v>10</v>
      </c>
      <c r="I14" s="34">
        <v>8.3000000000000007</v>
      </c>
      <c r="J14" s="34">
        <v>7.6</v>
      </c>
      <c r="L14" s="34">
        <v>10</v>
      </c>
      <c r="M14" s="34">
        <v>8.5</v>
      </c>
    </row>
    <row r="15" spans="1:23" x14ac:dyDescent="0.25">
      <c r="A15" s="34">
        <v>13</v>
      </c>
      <c r="B15" t="s">
        <v>39</v>
      </c>
      <c r="C15" t="s">
        <v>90</v>
      </c>
      <c r="D15" t="s">
        <v>130</v>
      </c>
      <c r="E15" s="34">
        <v>3.3</v>
      </c>
      <c r="G15" s="34">
        <v>8.8000000000000007</v>
      </c>
      <c r="I15" s="34">
        <v>6.7</v>
      </c>
      <c r="J15" s="34">
        <v>2.7</v>
      </c>
      <c r="L15" s="34">
        <v>7.8</v>
      </c>
      <c r="M15" s="34">
        <v>10</v>
      </c>
    </row>
    <row r="16" spans="1:23" x14ac:dyDescent="0.25">
      <c r="A16" s="34">
        <v>14</v>
      </c>
      <c r="B16" t="s">
        <v>40</v>
      </c>
      <c r="C16" t="s">
        <v>87</v>
      </c>
      <c r="D16" t="s">
        <v>130</v>
      </c>
      <c r="E16" s="34">
        <v>4</v>
      </c>
      <c r="G16" s="34">
        <v>6.9</v>
      </c>
      <c r="I16" s="34">
        <v>6.5</v>
      </c>
      <c r="J16" s="34">
        <v>7</v>
      </c>
      <c r="L16" s="34">
        <v>5.0999999999999996</v>
      </c>
      <c r="M16" s="34">
        <v>9</v>
      </c>
    </row>
    <row r="17" spans="1:13" x14ac:dyDescent="0.25">
      <c r="A17" s="34">
        <v>15</v>
      </c>
      <c r="B17" t="s">
        <v>41</v>
      </c>
      <c r="C17" t="s">
        <v>87</v>
      </c>
      <c r="D17" t="s">
        <v>130</v>
      </c>
      <c r="E17" s="34">
        <v>8.6</v>
      </c>
      <c r="G17" s="34">
        <v>9.6</v>
      </c>
      <c r="I17" s="34">
        <v>4.9000000000000004</v>
      </c>
      <c r="J17" s="34">
        <v>8.6999999999999993</v>
      </c>
      <c r="L17" s="34">
        <v>9.4</v>
      </c>
      <c r="M17" s="34">
        <v>5.3</v>
      </c>
    </row>
    <row r="18" spans="1:13" x14ac:dyDescent="0.25">
      <c r="A18" s="34">
        <v>16</v>
      </c>
      <c r="B18" t="s">
        <v>42</v>
      </c>
      <c r="C18" t="s">
        <v>91</v>
      </c>
      <c r="D18" t="s">
        <v>131</v>
      </c>
      <c r="E18" s="34">
        <v>5.5</v>
      </c>
      <c r="G18" s="34">
        <v>6.1</v>
      </c>
      <c r="I18" s="34">
        <v>8.3000000000000007</v>
      </c>
      <c r="J18" s="34">
        <v>10</v>
      </c>
      <c r="L18" s="34">
        <v>4.9000000000000004</v>
      </c>
      <c r="M18" s="34">
        <v>10.7</v>
      </c>
    </row>
    <row r="19" spans="1:13" x14ac:dyDescent="0.25">
      <c r="A19" s="34">
        <v>17</v>
      </c>
      <c r="B19" t="s">
        <v>43</v>
      </c>
      <c r="C19" t="s">
        <v>92</v>
      </c>
      <c r="D19" t="s">
        <v>132</v>
      </c>
      <c r="E19" s="34">
        <v>5.9</v>
      </c>
      <c r="G19" s="34">
        <v>9.8000000000000007</v>
      </c>
      <c r="I19" s="34">
        <v>10</v>
      </c>
      <c r="J19" s="34">
        <v>4.9000000000000004</v>
      </c>
      <c r="L19" s="34">
        <v>5.7</v>
      </c>
      <c r="M19" s="34">
        <v>9.5</v>
      </c>
    </row>
    <row r="20" spans="1:13" x14ac:dyDescent="0.25">
      <c r="A20" s="34">
        <v>18</v>
      </c>
      <c r="B20" t="s">
        <v>44</v>
      </c>
      <c r="C20" t="s">
        <v>93</v>
      </c>
      <c r="D20" t="s">
        <v>133</v>
      </c>
      <c r="E20" s="34">
        <v>3.8</v>
      </c>
      <c r="G20" s="34">
        <v>5.2</v>
      </c>
      <c r="I20" s="34">
        <v>5.2</v>
      </c>
      <c r="J20" s="34">
        <v>6.1</v>
      </c>
      <c r="L20" s="34">
        <v>6.1</v>
      </c>
      <c r="M20" s="34">
        <v>6.5</v>
      </c>
    </row>
    <row r="21" spans="1:13" x14ac:dyDescent="0.25">
      <c r="A21" s="34">
        <v>19</v>
      </c>
      <c r="B21" t="s">
        <v>45</v>
      </c>
      <c r="C21" t="s">
        <v>94</v>
      </c>
      <c r="D21" t="s">
        <v>134</v>
      </c>
      <c r="E21" s="34">
        <v>7.8</v>
      </c>
      <c r="G21" s="34">
        <v>8</v>
      </c>
      <c r="I21" s="34">
        <v>8.1999999999999993</v>
      </c>
      <c r="J21" s="34">
        <v>8</v>
      </c>
      <c r="L21" s="34">
        <v>9.6999999999999993</v>
      </c>
      <c r="M21" s="34">
        <v>9</v>
      </c>
    </row>
    <row r="22" spans="1:13" x14ac:dyDescent="0.25">
      <c r="A22" s="34">
        <v>20</v>
      </c>
      <c r="B22" t="s">
        <v>46</v>
      </c>
      <c r="C22" t="s">
        <v>95</v>
      </c>
      <c r="D22" t="s">
        <v>134</v>
      </c>
      <c r="E22" s="34">
        <v>7.2</v>
      </c>
      <c r="G22" s="34">
        <v>6.9</v>
      </c>
      <c r="I22" s="34">
        <v>6.8</v>
      </c>
      <c r="J22" s="34">
        <v>9.6999999999999993</v>
      </c>
      <c r="L22" s="34">
        <v>6.3</v>
      </c>
      <c r="M22" s="34">
        <v>8</v>
      </c>
    </row>
    <row r="23" spans="1:13" x14ac:dyDescent="0.25">
      <c r="A23" s="34">
        <v>21</v>
      </c>
      <c r="B23" t="s">
        <v>47</v>
      </c>
      <c r="C23" t="s">
        <v>96</v>
      </c>
      <c r="D23" t="s">
        <v>135</v>
      </c>
      <c r="E23" s="34">
        <v>10</v>
      </c>
      <c r="G23" s="34">
        <v>7.8</v>
      </c>
      <c r="I23" s="34">
        <v>8.3000000000000007</v>
      </c>
      <c r="J23" s="34">
        <v>6.8</v>
      </c>
      <c r="L23" s="34">
        <v>8.3000000000000007</v>
      </c>
      <c r="M23" s="34">
        <v>7.7</v>
      </c>
    </row>
    <row r="24" spans="1:13" x14ac:dyDescent="0.25">
      <c r="A24" s="34">
        <v>22</v>
      </c>
      <c r="B24" t="s">
        <v>48</v>
      </c>
      <c r="C24" t="s">
        <v>97</v>
      </c>
      <c r="D24" t="s">
        <v>135</v>
      </c>
      <c r="E24" s="34">
        <v>8.4</v>
      </c>
      <c r="G24" s="34">
        <v>8.6</v>
      </c>
      <c r="I24" s="34">
        <v>3.9</v>
      </c>
      <c r="J24" s="34">
        <v>10</v>
      </c>
      <c r="L24" s="34">
        <v>6.8</v>
      </c>
      <c r="M24" s="34">
        <v>10</v>
      </c>
    </row>
    <row r="25" spans="1:13" x14ac:dyDescent="0.25">
      <c r="A25" s="34">
        <v>23</v>
      </c>
      <c r="B25" t="s">
        <v>49</v>
      </c>
      <c r="C25" t="s">
        <v>98</v>
      </c>
      <c r="D25" t="s">
        <v>136</v>
      </c>
      <c r="E25" s="34">
        <v>6.3</v>
      </c>
      <c r="G25" s="34">
        <v>10</v>
      </c>
      <c r="I25" s="34">
        <v>6.4</v>
      </c>
      <c r="J25" s="34">
        <v>7.8</v>
      </c>
      <c r="L25" s="34">
        <v>0.3</v>
      </c>
      <c r="M25" s="34">
        <v>8</v>
      </c>
    </row>
    <row r="26" spans="1:13" x14ac:dyDescent="0.25">
      <c r="A26" s="34">
        <v>24</v>
      </c>
      <c r="B26" t="s">
        <v>50</v>
      </c>
      <c r="C26" t="s">
        <v>99</v>
      </c>
      <c r="D26" t="s">
        <v>136</v>
      </c>
      <c r="E26" s="34">
        <v>9.5</v>
      </c>
      <c r="G26" s="34">
        <v>6.9</v>
      </c>
      <c r="I26" s="34">
        <v>5.8</v>
      </c>
      <c r="J26" s="34">
        <v>7.9</v>
      </c>
      <c r="L26" s="34">
        <v>3.6</v>
      </c>
      <c r="M26" s="34">
        <v>7.9</v>
      </c>
    </row>
    <row r="27" spans="1:13" x14ac:dyDescent="0.25">
      <c r="A27" s="34">
        <v>25</v>
      </c>
      <c r="B27" t="s">
        <v>51</v>
      </c>
      <c r="C27" t="s">
        <v>100</v>
      </c>
      <c r="D27" t="s">
        <v>137</v>
      </c>
      <c r="E27" s="34">
        <v>8.6999999999999993</v>
      </c>
      <c r="G27" s="34">
        <v>8.6</v>
      </c>
      <c r="I27" s="34">
        <v>6.5</v>
      </c>
      <c r="J27" s="34">
        <v>7.5</v>
      </c>
      <c r="L27" s="34">
        <v>6.3</v>
      </c>
      <c r="M27" s="34">
        <v>8.3000000000000007</v>
      </c>
    </row>
    <row r="28" spans="1:13" x14ac:dyDescent="0.25">
      <c r="A28" s="34">
        <v>26</v>
      </c>
      <c r="B28" t="s">
        <v>52</v>
      </c>
      <c r="C28" t="s">
        <v>101</v>
      </c>
      <c r="D28" t="s">
        <v>138</v>
      </c>
      <c r="E28" s="34">
        <v>10</v>
      </c>
      <c r="G28" s="34">
        <v>6.1</v>
      </c>
      <c r="I28" s="34">
        <v>6.5</v>
      </c>
      <c r="J28" s="34">
        <v>10</v>
      </c>
      <c r="L28" s="34">
        <v>6.8</v>
      </c>
      <c r="M28" s="34">
        <v>8.6</v>
      </c>
    </row>
    <row r="29" spans="1:13" x14ac:dyDescent="0.25">
      <c r="A29" s="34">
        <v>27</v>
      </c>
      <c r="B29" t="s">
        <v>53</v>
      </c>
      <c r="C29" t="s">
        <v>102</v>
      </c>
      <c r="D29" t="s">
        <v>139</v>
      </c>
      <c r="E29" s="34">
        <v>3.5</v>
      </c>
      <c r="G29" s="34">
        <v>6.3</v>
      </c>
      <c r="I29" s="34">
        <v>5.6</v>
      </c>
      <c r="J29" s="34">
        <v>8.8000000000000007</v>
      </c>
      <c r="L29" s="34">
        <v>9</v>
      </c>
      <c r="M29" s="34">
        <v>10</v>
      </c>
    </row>
    <row r="30" spans="1:13" x14ac:dyDescent="0.25">
      <c r="A30" s="34">
        <v>28</v>
      </c>
      <c r="B30" t="s">
        <v>54</v>
      </c>
      <c r="C30" t="s">
        <v>103</v>
      </c>
      <c r="D30" t="s">
        <v>140</v>
      </c>
      <c r="E30" s="34">
        <v>5.5</v>
      </c>
      <c r="G30" s="34">
        <v>6.1</v>
      </c>
      <c r="I30" s="34">
        <v>5</v>
      </c>
      <c r="J30" s="34">
        <v>5.3</v>
      </c>
      <c r="L30" s="34">
        <v>4.9000000000000004</v>
      </c>
      <c r="M30" s="34">
        <v>8.8000000000000007</v>
      </c>
    </row>
    <row r="31" spans="1:13" x14ac:dyDescent="0.25">
      <c r="A31" s="34">
        <v>29</v>
      </c>
      <c r="B31" t="s">
        <v>55</v>
      </c>
      <c r="C31" t="s">
        <v>104</v>
      </c>
      <c r="D31" t="s">
        <v>141</v>
      </c>
      <c r="E31" s="34">
        <v>7.6</v>
      </c>
      <c r="G31" s="34">
        <v>7.5</v>
      </c>
      <c r="I31" s="34">
        <v>5.0999999999999996</v>
      </c>
      <c r="J31" s="34">
        <v>4.8</v>
      </c>
      <c r="L31" s="34">
        <v>5.4</v>
      </c>
      <c r="M31" s="34">
        <v>6.3</v>
      </c>
    </row>
    <row r="32" spans="1:13" x14ac:dyDescent="0.25">
      <c r="A32" s="34">
        <v>30</v>
      </c>
      <c r="B32" t="s">
        <v>56</v>
      </c>
      <c r="C32" t="s">
        <v>105</v>
      </c>
      <c r="D32" t="s">
        <v>142</v>
      </c>
      <c r="E32" s="34">
        <v>4.0999999999999996</v>
      </c>
      <c r="G32" s="34">
        <v>8.4</v>
      </c>
      <c r="I32" s="34">
        <v>8.3000000000000007</v>
      </c>
      <c r="J32" s="34">
        <v>10</v>
      </c>
      <c r="L32" s="34">
        <v>4</v>
      </c>
      <c r="M32" s="34">
        <v>7</v>
      </c>
    </row>
    <row r="33" spans="1:13" x14ac:dyDescent="0.25">
      <c r="A33" s="34">
        <v>31</v>
      </c>
      <c r="B33" t="s">
        <v>57</v>
      </c>
      <c r="C33" t="s">
        <v>106</v>
      </c>
      <c r="D33" t="s">
        <v>142</v>
      </c>
      <c r="E33" s="34">
        <v>7.9</v>
      </c>
      <c r="G33" s="34">
        <v>8.5</v>
      </c>
      <c r="I33" s="34">
        <v>7.3</v>
      </c>
      <c r="J33" s="34">
        <v>6.5</v>
      </c>
      <c r="L33" s="34">
        <v>5.0999999999999996</v>
      </c>
      <c r="M33" s="34">
        <v>7.9</v>
      </c>
    </row>
    <row r="34" spans="1:13" x14ac:dyDescent="0.25">
      <c r="A34" s="34">
        <v>32</v>
      </c>
      <c r="B34" t="s">
        <v>58</v>
      </c>
      <c r="C34" t="s">
        <v>107</v>
      </c>
      <c r="D34" t="s">
        <v>143</v>
      </c>
      <c r="E34" s="34">
        <v>7.8</v>
      </c>
      <c r="G34" s="34">
        <v>6.2</v>
      </c>
      <c r="I34" s="34">
        <v>10</v>
      </c>
      <c r="J34" s="34">
        <v>3.4</v>
      </c>
      <c r="L34" s="34">
        <v>3</v>
      </c>
      <c r="M34" s="34">
        <v>7.7</v>
      </c>
    </row>
    <row r="35" spans="1:13" x14ac:dyDescent="0.25">
      <c r="A35" s="34">
        <v>33</v>
      </c>
      <c r="B35" t="s">
        <v>59</v>
      </c>
      <c r="C35" t="s">
        <v>108</v>
      </c>
      <c r="D35" t="s">
        <v>144</v>
      </c>
      <c r="E35" s="34">
        <v>7.4</v>
      </c>
      <c r="G35" s="34">
        <v>3.7</v>
      </c>
      <c r="I35" s="34">
        <v>9.5</v>
      </c>
      <c r="J35" s="34">
        <v>4.0999999999999996</v>
      </c>
      <c r="L35" s="34">
        <v>10</v>
      </c>
      <c r="M35" s="34">
        <v>7.9</v>
      </c>
    </row>
    <row r="36" spans="1:13" x14ac:dyDescent="0.25">
      <c r="A36" s="34">
        <v>34</v>
      </c>
      <c r="B36" t="s">
        <v>60</v>
      </c>
      <c r="C36" t="s">
        <v>105</v>
      </c>
      <c r="D36" t="s">
        <v>145</v>
      </c>
      <c r="E36" s="34">
        <v>9.4</v>
      </c>
      <c r="G36" s="34">
        <v>6.3</v>
      </c>
      <c r="I36" s="34">
        <v>7.7</v>
      </c>
      <c r="J36" s="34">
        <v>7.9</v>
      </c>
      <c r="L36" s="34">
        <v>6.3</v>
      </c>
      <c r="M36" s="34">
        <v>6.7</v>
      </c>
    </row>
    <row r="37" spans="1:13" x14ac:dyDescent="0.25">
      <c r="A37" s="34">
        <v>35</v>
      </c>
      <c r="B37" t="s">
        <v>61</v>
      </c>
      <c r="C37" t="s">
        <v>109</v>
      </c>
      <c r="D37" t="s">
        <v>146</v>
      </c>
      <c r="E37" s="34">
        <v>6.9</v>
      </c>
      <c r="G37" s="34">
        <v>5.3</v>
      </c>
      <c r="I37" s="34">
        <v>6</v>
      </c>
      <c r="J37" s="34">
        <v>7.9</v>
      </c>
      <c r="L37" s="34">
        <v>6.7</v>
      </c>
      <c r="M37" s="34">
        <v>9.9</v>
      </c>
    </row>
    <row r="38" spans="1:13" x14ac:dyDescent="0.25">
      <c r="A38" s="34">
        <v>36</v>
      </c>
      <c r="B38" t="s">
        <v>62</v>
      </c>
      <c r="C38" t="s">
        <v>109</v>
      </c>
      <c r="D38" t="s">
        <v>146</v>
      </c>
      <c r="E38" s="34">
        <v>5</v>
      </c>
      <c r="G38" s="34">
        <v>8.9</v>
      </c>
      <c r="I38" s="34">
        <v>8.1</v>
      </c>
      <c r="J38" s="34">
        <v>10</v>
      </c>
      <c r="L38" s="34">
        <v>7.2</v>
      </c>
      <c r="M38" s="34">
        <v>9.6999999999999993</v>
      </c>
    </row>
    <row r="39" spans="1:13" x14ac:dyDescent="0.25">
      <c r="A39" s="34">
        <v>37</v>
      </c>
      <c r="B39" t="s">
        <v>63</v>
      </c>
      <c r="C39" t="s">
        <v>110</v>
      </c>
      <c r="D39" t="s">
        <v>147</v>
      </c>
      <c r="E39" s="34">
        <v>8.8000000000000007</v>
      </c>
      <c r="G39" s="34">
        <v>7.2</v>
      </c>
      <c r="I39" s="34">
        <v>7.6</v>
      </c>
      <c r="J39" s="34">
        <v>4.8</v>
      </c>
      <c r="L39" s="34">
        <v>8.8000000000000007</v>
      </c>
      <c r="M39" s="34">
        <v>9.3000000000000007</v>
      </c>
    </row>
    <row r="40" spans="1:13" x14ac:dyDescent="0.25">
      <c r="A40" s="34">
        <v>38</v>
      </c>
      <c r="B40" t="s">
        <v>64</v>
      </c>
      <c r="C40" t="s">
        <v>111</v>
      </c>
      <c r="D40" t="s">
        <v>148</v>
      </c>
      <c r="E40" s="34">
        <v>5.0999999999999996</v>
      </c>
      <c r="G40" s="34">
        <v>5.2</v>
      </c>
      <c r="I40" s="34">
        <v>9.4</v>
      </c>
      <c r="J40" s="34">
        <v>8.4</v>
      </c>
      <c r="L40" s="34">
        <v>7.9</v>
      </c>
      <c r="M40" s="34">
        <v>9</v>
      </c>
    </row>
    <row r="41" spans="1:13" x14ac:dyDescent="0.25">
      <c r="A41" s="34">
        <v>39</v>
      </c>
      <c r="B41" t="s">
        <v>65</v>
      </c>
      <c r="C41" t="s">
        <v>112</v>
      </c>
      <c r="D41" t="s">
        <v>149</v>
      </c>
      <c r="E41" s="34">
        <v>4.8</v>
      </c>
      <c r="G41" s="34">
        <v>4.3</v>
      </c>
      <c r="I41" s="34">
        <v>8.6</v>
      </c>
      <c r="J41" s="34">
        <v>7.3</v>
      </c>
      <c r="L41" s="34">
        <v>4.8</v>
      </c>
      <c r="M41" s="34">
        <v>10</v>
      </c>
    </row>
    <row r="42" spans="1:13" x14ac:dyDescent="0.25">
      <c r="A42" s="34">
        <v>40</v>
      </c>
      <c r="B42" t="s">
        <v>66</v>
      </c>
      <c r="C42" t="s">
        <v>113</v>
      </c>
      <c r="D42" t="s">
        <v>150</v>
      </c>
      <c r="E42" s="34">
        <v>5.4</v>
      </c>
      <c r="G42" s="34">
        <v>8.1</v>
      </c>
      <c r="I42" s="34">
        <v>9.6</v>
      </c>
      <c r="J42" s="34">
        <v>7.5</v>
      </c>
      <c r="L42" s="34">
        <v>3.7</v>
      </c>
      <c r="M42" s="34">
        <v>8.1</v>
      </c>
    </row>
    <row r="43" spans="1:13" x14ac:dyDescent="0.25">
      <c r="A43" s="34">
        <v>41</v>
      </c>
      <c r="B43" t="s">
        <v>67</v>
      </c>
      <c r="C43" t="s">
        <v>114</v>
      </c>
      <c r="D43" t="s">
        <v>151</v>
      </c>
      <c r="E43" s="34">
        <v>8.6</v>
      </c>
      <c r="G43" s="34">
        <v>5.3</v>
      </c>
      <c r="I43" s="34">
        <v>10</v>
      </c>
      <c r="J43" s="34">
        <v>8.1</v>
      </c>
      <c r="L43" s="34">
        <v>3.6</v>
      </c>
      <c r="M43" s="34">
        <v>7.8</v>
      </c>
    </row>
    <row r="44" spans="1:13" x14ac:dyDescent="0.25">
      <c r="A44" s="34">
        <v>42</v>
      </c>
      <c r="B44" t="s">
        <v>68</v>
      </c>
      <c r="C44" t="s">
        <v>115</v>
      </c>
      <c r="D44" t="s">
        <v>152</v>
      </c>
      <c r="E44" s="34">
        <v>7.6</v>
      </c>
      <c r="G44" s="34">
        <v>8.1999999999999993</v>
      </c>
      <c r="I44" s="34">
        <v>7.3</v>
      </c>
      <c r="J44" s="34">
        <v>9.4</v>
      </c>
      <c r="L44" s="34">
        <v>6.9</v>
      </c>
      <c r="M44" s="34">
        <v>8.6999999999999993</v>
      </c>
    </row>
    <row r="45" spans="1:13" x14ac:dyDescent="0.25">
      <c r="A45" s="34">
        <v>43</v>
      </c>
      <c r="B45" t="s">
        <v>69</v>
      </c>
      <c r="C45" t="s">
        <v>116</v>
      </c>
      <c r="D45" t="s">
        <v>153</v>
      </c>
      <c r="E45" s="34">
        <v>9.3000000000000007</v>
      </c>
      <c r="G45" s="34">
        <v>4.4000000000000004</v>
      </c>
      <c r="I45" s="34">
        <v>6.5</v>
      </c>
      <c r="J45" s="34">
        <v>3.4</v>
      </c>
      <c r="L45" s="34">
        <v>6.2</v>
      </c>
      <c r="M45" s="34">
        <v>8.3000000000000007</v>
      </c>
    </row>
    <row r="46" spans="1:13" x14ac:dyDescent="0.25">
      <c r="A46" s="34">
        <v>44</v>
      </c>
      <c r="B46" t="s">
        <v>70</v>
      </c>
      <c r="C46" t="s">
        <v>113</v>
      </c>
      <c r="D46" t="s">
        <v>153</v>
      </c>
      <c r="E46" s="34">
        <v>7.8</v>
      </c>
      <c r="G46" s="34">
        <v>7.7</v>
      </c>
      <c r="I46" s="34">
        <v>10</v>
      </c>
      <c r="J46" s="34">
        <v>5.8</v>
      </c>
      <c r="L46" s="34">
        <v>7.4</v>
      </c>
      <c r="M46" s="34">
        <v>7.7</v>
      </c>
    </row>
    <row r="47" spans="1:13" x14ac:dyDescent="0.25">
      <c r="A47" s="34">
        <v>45</v>
      </c>
      <c r="B47" t="s">
        <v>71</v>
      </c>
      <c r="C47" t="s">
        <v>117</v>
      </c>
      <c r="D47" t="s">
        <v>154</v>
      </c>
      <c r="E47" s="34">
        <v>5.5</v>
      </c>
      <c r="G47" s="34">
        <v>2</v>
      </c>
      <c r="I47" s="34">
        <v>6.5</v>
      </c>
      <c r="J47" s="34">
        <v>5.6</v>
      </c>
      <c r="L47" s="34">
        <v>10</v>
      </c>
      <c r="M47" s="34">
        <v>9.6999999999999993</v>
      </c>
    </row>
    <row r="48" spans="1:13" x14ac:dyDescent="0.25">
      <c r="A48" s="34">
        <v>46</v>
      </c>
      <c r="B48" t="s">
        <v>72</v>
      </c>
      <c r="C48" t="s">
        <v>118</v>
      </c>
      <c r="D48" t="s">
        <v>155</v>
      </c>
      <c r="E48" s="34">
        <v>7.6</v>
      </c>
      <c r="G48" s="34">
        <v>1.5</v>
      </c>
      <c r="I48" s="34">
        <v>6.4</v>
      </c>
      <c r="J48" s="34">
        <v>6.5</v>
      </c>
      <c r="L48" s="34">
        <v>9.5</v>
      </c>
      <c r="M48" s="34">
        <v>5.9</v>
      </c>
    </row>
    <row r="49" spans="1:13" x14ac:dyDescent="0.25">
      <c r="A49" s="34">
        <v>47</v>
      </c>
      <c r="B49" t="s">
        <v>73</v>
      </c>
      <c r="C49" t="s">
        <v>119</v>
      </c>
      <c r="D49" t="s">
        <v>156</v>
      </c>
      <c r="E49" s="34">
        <v>10</v>
      </c>
      <c r="G49" s="34">
        <v>9.1999999999999993</v>
      </c>
      <c r="I49" s="34">
        <v>9</v>
      </c>
      <c r="J49" s="34">
        <v>7</v>
      </c>
      <c r="L49" s="34">
        <v>6</v>
      </c>
      <c r="M49" s="34">
        <v>9.5</v>
      </c>
    </row>
    <row r="50" spans="1:13" x14ac:dyDescent="0.25">
      <c r="A50" s="34">
        <v>48</v>
      </c>
      <c r="B50" t="s">
        <v>74</v>
      </c>
      <c r="C50" t="s">
        <v>120</v>
      </c>
      <c r="D50" t="s">
        <v>156</v>
      </c>
      <c r="E50" s="34">
        <v>6.6</v>
      </c>
      <c r="G50" s="34">
        <v>8.1</v>
      </c>
      <c r="I50" s="34">
        <v>7.4</v>
      </c>
      <c r="J50" s="34">
        <v>5.3</v>
      </c>
      <c r="L50" s="34">
        <v>4.9000000000000004</v>
      </c>
      <c r="M50" s="34">
        <v>5.0999999999999996</v>
      </c>
    </row>
    <row r="51" spans="1:13" x14ac:dyDescent="0.25">
      <c r="A51" s="34">
        <v>49</v>
      </c>
      <c r="B51" t="s">
        <v>75</v>
      </c>
      <c r="C51" t="s">
        <v>121</v>
      </c>
      <c r="D51" t="s">
        <v>157</v>
      </c>
      <c r="E51" s="34">
        <v>5.3</v>
      </c>
      <c r="G51" s="34">
        <v>8.4</v>
      </c>
      <c r="I51" s="34">
        <v>8.6</v>
      </c>
      <c r="J51" s="34">
        <v>7.8</v>
      </c>
      <c r="L51" s="34">
        <v>3</v>
      </c>
      <c r="M51" s="34">
        <v>10</v>
      </c>
    </row>
    <row r="52" spans="1:13" x14ac:dyDescent="0.25">
      <c r="A52" s="34">
        <v>50</v>
      </c>
      <c r="B52" t="s">
        <v>76</v>
      </c>
      <c r="C52" t="s">
        <v>122</v>
      </c>
      <c r="D52" t="s">
        <v>158</v>
      </c>
      <c r="E52" s="34">
        <v>6.5</v>
      </c>
      <c r="G52" s="34">
        <v>5.5</v>
      </c>
      <c r="I52" s="34">
        <v>7.8</v>
      </c>
      <c r="J52" s="34">
        <v>4.9000000000000004</v>
      </c>
      <c r="L52" s="34">
        <v>6.7</v>
      </c>
      <c r="M52" s="34">
        <v>4.9000000000000004</v>
      </c>
    </row>
    <row r="53" spans="1:13" x14ac:dyDescent="0.25">
      <c r="A53" s="34">
        <v>51</v>
      </c>
      <c r="B53" t="s">
        <v>77</v>
      </c>
      <c r="C53" t="s">
        <v>123</v>
      </c>
      <c r="D53" t="s">
        <v>159</v>
      </c>
      <c r="E53" s="34">
        <v>5.9</v>
      </c>
      <c r="G53" s="34">
        <v>10</v>
      </c>
      <c r="I53" s="34">
        <v>6.6</v>
      </c>
      <c r="J53" s="34">
        <v>10</v>
      </c>
      <c r="L53" s="34">
        <v>3.5</v>
      </c>
      <c r="M53" s="34">
        <v>9</v>
      </c>
    </row>
  </sheetData>
  <mergeCells count="13">
    <mergeCell ref="G1:H1"/>
    <mergeCell ref="I1:K1"/>
    <mergeCell ref="L1:N1"/>
    <mergeCell ref="A1:A2"/>
    <mergeCell ref="B1:B2"/>
    <mergeCell ref="C1:C2"/>
    <mergeCell ref="D1:D2"/>
    <mergeCell ref="E1:F1"/>
    <mergeCell ref="O1:Q1"/>
    <mergeCell ref="U1:U2"/>
    <mergeCell ref="V1:V2"/>
    <mergeCell ref="W1:W2"/>
    <mergeCell ref="R1:T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A2079-B7F8-455F-9531-E8DA043B36F7}">
  <dimension ref="A1:O49"/>
  <sheetViews>
    <sheetView topLeftCell="A25" workbookViewId="0">
      <selection activeCell="O1" sqref="O1:O49"/>
    </sheetView>
  </sheetViews>
  <sheetFormatPr defaultRowHeight="15" x14ac:dyDescent="0.25"/>
  <cols>
    <col min="1" max="1" width="9.140625" style="34"/>
    <col min="2" max="2" width="8.42578125" style="34" customWidth="1"/>
    <col min="3" max="12" width="9.140625" style="34"/>
    <col min="14" max="14" width="14.28515625" style="36" customWidth="1"/>
  </cols>
  <sheetData>
    <row r="1" spans="1:15" ht="17.25" x14ac:dyDescent="0.3">
      <c r="A1" s="61" t="s">
        <v>218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N1" s="36" t="s">
        <v>240</v>
      </c>
      <c r="O1">
        <f ca="1">ROUND(_xlfn.NORM.INV(RAND(), 8, 1.5),1)</f>
        <v>9.5</v>
      </c>
    </row>
    <row r="2" spans="1:15" x14ac:dyDescent="0.25">
      <c r="A2" s="60" t="s">
        <v>219</v>
      </c>
      <c r="B2" s="58" t="s">
        <v>239</v>
      </c>
      <c r="C2" s="56" t="s">
        <v>220</v>
      </c>
      <c r="D2" s="56"/>
      <c r="E2" s="56"/>
      <c r="F2" s="56"/>
      <c r="G2" s="56"/>
      <c r="H2" s="56" t="s">
        <v>221</v>
      </c>
      <c r="I2" s="56"/>
      <c r="J2" s="56"/>
      <c r="K2" s="56"/>
      <c r="L2" s="56"/>
      <c r="N2" s="36" t="s">
        <v>241</v>
      </c>
      <c r="O2">
        <f t="shared" ref="O2:O49" ca="1" si="0">ROUND(_xlfn.NORM.INV(RAND(), 8, 1.5),1)</f>
        <v>8.9</v>
      </c>
    </row>
    <row r="3" spans="1:15" x14ac:dyDescent="0.25">
      <c r="A3" s="60"/>
      <c r="B3" s="60"/>
      <c r="C3" s="33" t="s">
        <v>222</v>
      </c>
      <c r="D3" s="33" t="s">
        <v>223</v>
      </c>
      <c r="E3" s="33" t="s">
        <v>224</v>
      </c>
      <c r="F3" s="33" t="s">
        <v>225</v>
      </c>
      <c r="G3" s="33" t="s">
        <v>226</v>
      </c>
      <c r="H3" s="33" t="s">
        <v>222</v>
      </c>
      <c r="I3" s="33" t="s">
        <v>223</v>
      </c>
      <c r="J3" s="33" t="s">
        <v>224</v>
      </c>
      <c r="K3" s="33" t="s">
        <v>225</v>
      </c>
      <c r="L3" s="33" t="s">
        <v>226</v>
      </c>
      <c r="N3" s="36" t="s">
        <v>242</v>
      </c>
      <c r="O3">
        <f t="shared" ca="1" si="0"/>
        <v>8.6999999999999993</v>
      </c>
    </row>
    <row r="4" spans="1:15" x14ac:dyDescent="0.25">
      <c r="A4" s="34" t="s">
        <v>227</v>
      </c>
      <c r="B4" s="34">
        <v>1</v>
      </c>
      <c r="C4" s="34">
        <v>1</v>
      </c>
      <c r="D4" s="34">
        <v>0</v>
      </c>
      <c r="E4" s="34">
        <v>0</v>
      </c>
      <c r="F4" s="34">
        <v>0</v>
      </c>
      <c r="G4" s="34">
        <v>0</v>
      </c>
      <c r="H4" s="35">
        <v>1</v>
      </c>
      <c r="I4" s="35">
        <v>0</v>
      </c>
      <c r="J4" s="35">
        <v>0</v>
      </c>
      <c r="K4" s="35">
        <v>0</v>
      </c>
      <c r="L4" s="35">
        <v>0</v>
      </c>
      <c r="N4" s="36" t="s">
        <v>243</v>
      </c>
      <c r="O4">
        <f t="shared" ca="1" si="0"/>
        <v>3.8</v>
      </c>
    </row>
    <row r="5" spans="1:15" x14ac:dyDescent="0.25">
      <c r="A5" s="34" t="s">
        <v>228</v>
      </c>
      <c r="B5" s="34">
        <v>1</v>
      </c>
      <c r="C5" s="34">
        <v>0</v>
      </c>
      <c r="D5" s="34">
        <v>0</v>
      </c>
      <c r="E5" s="34">
        <v>0</v>
      </c>
      <c r="F5" s="34">
        <v>0</v>
      </c>
      <c r="G5" s="34">
        <v>1</v>
      </c>
      <c r="H5" s="35">
        <v>0</v>
      </c>
      <c r="I5" s="35">
        <v>0</v>
      </c>
      <c r="J5" s="35">
        <v>0</v>
      </c>
      <c r="K5" s="35">
        <v>0</v>
      </c>
      <c r="L5" s="35">
        <v>1</v>
      </c>
      <c r="O5">
        <f t="shared" ca="1" si="0"/>
        <v>10.6</v>
      </c>
    </row>
    <row r="6" spans="1:15" x14ac:dyDescent="0.25">
      <c r="A6" s="34" t="s">
        <v>229</v>
      </c>
      <c r="B6" s="34">
        <v>1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O6">
        <f t="shared" ca="1" si="0"/>
        <v>8.9</v>
      </c>
    </row>
    <row r="7" spans="1:15" x14ac:dyDescent="0.25">
      <c r="O7">
        <f t="shared" ca="1" si="0"/>
        <v>7.1</v>
      </c>
    </row>
    <row r="8" spans="1:15" ht="17.25" x14ac:dyDescent="0.3">
      <c r="A8" s="61" t="s">
        <v>230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O8">
        <f t="shared" ca="1" si="0"/>
        <v>5.2</v>
      </c>
    </row>
    <row r="9" spans="1:15" x14ac:dyDescent="0.25">
      <c r="A9" s="60" t="s">
        <v>231</v>
      </c>
      <c r="B9" s="58" t="s">
        <v>239</v>
      </c>
      <c r="C9" s="56" t="s">
        <v>220</v>
      </c>
      <c r="D9" s="56"/>
      <c r="E9" s="56"/>
      <c r="F9" s="56"/>
      <c r="G9" s="56"/>
      <c r="H9" s="56" t="s">
        <v>232</v>
      </c>
      <c r="I9" s="56"/>
      <c r="J9" s="56"/>
      <c r="K9" s="56"/>
      <c r="L9" s="56"/>
      <c r="O9">
        <f t="shared" ca="1" si="0"/>
        <v>4.5</v>
      </c>
    </row>
    <row r="10" spans="1:15" x14ac:dyDescent="0.25">
      <c r="A10" s="60"/>
      <c r="B10" s="60"/>
      <c r="C10" s="33" t="s">
        <v>233</v>
      </c>
      <c r="D10" s="33" t="s">
        <v>234</v>
      </c>
      <c r="E10" s="33" t="s">
        <v>235</v>
      </c>
      <c r="F10" s="33" t="s">
        <v>236</v>
      </c>
      <c r="G10" s="33" t="s">
        <v>237</v>
      </c>
      <c r="H10" s="33" t="s">
        <v>233</v>
      </c>
      <c r="I10" s="33" t="s">
        <v>234</v>
      </c>
      <c r="J10" s="33" t="s">
        <v>235</v>
      </c>
      <c r="K10" s="33" t="s">
        <v>236</v>
      </c>
      <c r="L10" s="33" t="s">
        <v>237</v>
      </c>
      <c r="O10">
        <f t="shared" ca="1" si="0"/>
        <v>9.1</v>
      </c>
    </row>
    <row r="11" spans="1:15" x14ac:dyDescent="0.25">
      <c r="A11" s="34" t="s">
        <v>238</v>
      </c>
      <c r="B11" s="34">
        <v>1</v>
      </c>
      <c r="C11" s="34">
        <v>0</v>
      </c>
      <c r="D11" s="34">
        <v>0</v>
      </c>
      <c r="E11" s="34">
        <v>0</v>
      </c>
      <c r="F11" s="34">
        <v>1</v>
      </c>
      <c r="G11" s="34">
        <v>0</v>
      </c>
      <c r="H11" s="35">
        <v>0</v>
      </c>
      <c r="I11" s="35">
        <v>0</v>
      </c>
      <c r="J11" s="35">
        <v>0</v>
      </c>
      <c r="K11" s="35">
        <v>1</v>
      </c>
      <c r="L11" s="35">
        <v>0</v>
      </c>
      <c r="O11">
        <f t="shared" ca="1" si="0"/>
        <v>6.2</v>
      </c>
    </row>
    <row r="12" spans="1:15" x14ac:dyDescent="0.25">
      <c r="O12">
        <f t="shared" ca="1" si="0"/>
        <v>10.3</v>
      </c>
    </row>
    <row r="13" spans="1:15" x14ac:dyDescent="0.25">
      <c r="O13">
        <f t="shared" ca="1" si="0"/>
        <v>8</v>
      </c>
    </row>
    <row r="14" spans="1:15" x14ac:dyDescent="0.25">
      <c r="O14">
        <f t="shared" ca="1" si="0"/>
        <v>7.2</v>
      </c>
    </row>
    <row r="15" spans="1:15" x14ac:dyDescent="0.25">
      <c r="O15">
        <f t="shared" ca="1" si="0"/>
        <v>6.9</v>
      </c>
    </row>
    <row r="16" spans="1:15" x14ac:dyDescent="0.25">
      <c r="O16">
        <f t="shared" ca="1" si="0"/>
        <v>7.3</v>
      </c>
    </row>
    <row r="17" spans="15:15" x14ac:dyDescent="0.25">
      <c r="O17">
        <f t="shared" ca="1" si="0"/>
        <v>6.5</v>
      </c>
    </row>
    <row r="18" spans="15:15" x14ac:dyDescent="0.25">
      <c r="O18">
        <f t="shared" ca="1" si="0"/>
        <v>7.8</v>
      </c>
    </row>
    <row r="19" spans="15:15" x14ac:dyDescent="0.25">
      <c r="O19">
        <f t="shared" ca="1" si="0"/>
        <v>9.3000000000000007</v>
      </c>
    </row>
    <row r="20" spans="15:15" x14ac:dyDescent="0.25">
      <c r="O20">
        <f t="shared" ca="1" si="0"/>
        <v>8.6999999999999993</v>
      </c>
    </row>
    <row r="21" spans="15:15" x14ac:dyDescent="0.25">
      <c r="O21">
        <f t="shared" ca="1" si="0"/>
        <v>7.1</v>
      </c>
    </row>
    <row r="22" spans="15:15" x14ac:dyDescent="0.25">
      <c r="O22">
        <f t="shared" ca="1" si="0"/>
        <v>5.7</v>
      </c>
    </row>
    <row r="23" spans="15:15" x14ac:dyDescent="0.25">
      <c r="O23">
        <f t="shared" ca="1" si="0"/>
        <v>5.5</v>
      </c>
    </row>
    <row r="24" spans="15:15" x14ac:dyDescent="0.25">
      <c r="O24">
        <f t="shared" ca="1" si="0"/>
        <v>7.3</v>
      </c>
    </row>
    <row r="25" spans="15:15" x14ac:dyDescent="0.25">
      <c r="O25">
        <f t="shared" ca="1" si="0"/>
        <v>6.2</v>
      </c>
    </row>
    <row r="26" spans="15:15" x14ac:dyDescent="0.25">
      <c r="O26">
        <f t="shared" ca="1" si="0"/>
        <v>9.1</v>
      </c>
    </row>
    <row r="27" spans="15:15" x14ac:dyDescent="0.25">
      <c r="O27">
        <f t="shared" ca="1" si="0"/>
        <v>3</v>
      </c>
    </row>
    <row r="28" spans="15:15" x14ac:dyDescent="0.25">
      <c r="O28">
        <f t="shared" ca="1" si="0"/>
        <v>8.6</v>
      </c>
    </row>
    <row r="29" spans="15:15" x14ac:dyDescent="0.25">
      <c r="O29">
        <f t="shared" ca="1" si="0"/>
        <v>7</v>
      </c>
    </row>
    <row r="30" spans="15:15" x14ac:dyDescent="0.25">
      <c r="O30">
        <f t="shared" ca="1" si="0"/>
        <v>6.7</v>
      </c>
    </row>
    <row r="31" spans="15:15" x14ac:dyDescent="0.25">
      <c r="O31">
        <f t="shared" ca="1" si="0"/>
        <v>10.7</v>
      </c>
    </row>
    <row r="32" spans="15:15" x14ac:dyDescent="0.25">
      <c r="O32">
        <f t="shared" ca="1" si="0"/>
        <v>8.6999999999999993</v>
      </c>
    </row>
    <row r="33" spans="15:15" x14ac:dyDescent="0.25">
      <c r="O33">
        <f t="shared" ca="1" si="0"/>
        <v>7.6</v>
      </c>
    </row>
    <row r="34" spans="15:15" x14ac:dyDescent="0.25">
      <c r="O34">
        <f t="shared" ca="1" si="0"/>
        <v>7.8</v>
      </c>
    </row>
    <row r="35" spans="15:15" x14ac:dyDescent="0.25">
      <c r="O35">
        <f t="shared" ca="1" si="0"/>
        <v>6.2</v>
      </c>
    </row>
    <row r="36" spans="15:15" x14ac:dyDescent="0.25">
      <c r="O36">
        <f t="shared" ca="1" si="0"/>
        <v>6.3</v>
      </c>
    </row>
    <row r="37" spans="15:15" x14ac:dyDescent="0.25">
      <c r="O37">
        <f t="shared" ca="1" si="0"/>
        <v>7.4</v>
      </c>
    </row>
    <row r="38" spans="15:15" x14ac:dyDescent="0.25">
      <c r="O38">
        <f t="shared" ca="1" si="0"/>
        <v>9.4</v>
      </c>
    </row>
    <row r="39" spans="15:15" x14ac:dyDescent="0.25">
      <c r="O39">
        <f t="shared" ca="1" si="0"/>
        <v>9</v>
      </c>
    </row>
    <row r="40" spans="15:15" x14ac:dyDescent="0.25">
      <c r="O40">
        <f t="shared" ca="1" si="0"/>
        <v>5.4</v>
      </c>
    </row>
    <row r="41" spans="15:15" x14ac:dyDescent="0.25">
      <c r="O41">
        <f t="shared" ca="1" si="0"/>
        <v>7.4</v>
      </c>
    </row>
    <row r="42" spans="15:15" x14ac:dyDescent="0.25">
      <c r="O42">
        <f t="shared" ca="1" si="0"/>
        <v>9.6999999999999993</v>
      </c>
    </row>
    <row r="43" spans="15:15" x14ac:dyDescent="0.25">
      <c r="O43">
        <f t="shared" ca="1" si="0"/>
        <v>8.3000000000000007</v>
      </c>
    </row>
    <row r="44" spans="15:15" x14ac:dyDescent="0.25">
      <c r="O44">
        <f t="shared" ca="1" si="0"/>
        <v>10.1</v>
      </c>
    </row>
    <row r="45" spans="15:15" x14ac:dyDescent="0.25">
      <c r="O45">
        <f t="shared" ca="1" si="0"/>
        <v>7.1</v>
      </c>
    </row>
    <row r="46" spans="15:15" x14ac:dyDescent="0.25">
      <c r="O46">
        <f t="shared" ca="1" si="0"/>
        <v>11</v>
      </c>
    </row>
    <row r="47" spans="15:15" x14ac:dyDescent="0.25">
      <c r="O47">
        <f t="shared" ca="1" si="0"/>
        <v>6.1</v>
      </c>
    </row>
    <row r="48" spans="15:15" x14ac:dyDescent="0.25">
      <c r="O48">
        <f t="shared" ca="1" si="0"/>
        <v>9.1</v>
      </c>
    </row>
    <row r="49" spans="15:15" x14ac:dyDescent="0.25">
      <c r="O49">
        <f t="shared" ca="1" si="0"/>
        <v>7.6</v>
      </c>
    </row>
  </sheetData>
  <mergeCells count="10">
    <mergeCell ref="A9:A10"/>
    <mergeCell ref="B9:B10"/>
    <mergeCell ref="C9:G9"/>
    <mergeCell ref="H9:L9"/>
    <mergeCell ref="A1:L1"/>
    <mergeCell ref="A8:L8"/>
    <mergeCell ref="A2:A3"/>
    <mergeCell ref="B2:B3"/>
    <mergeCell ref="C2:G2"/>
    <mergeCell ref="H2:L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</vt:lpstr>
      <vt:lpstr>Sheet1</vt:lpstr>
      <vt:lpstr>Report</vt:lpstr>
      <vt:lpstr>Sheet!Print_Area</vt:lpstr>
    </vt:vector>
  </TitlesOfParts>
  <Company>SECHUI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Trieu</dc:creator>
  <dc:description>E0000040</dc:description>
  <cp:lastModifiedBy>Nguyễn Đức Thịnh</cp:lastModifiedBy>
  <cp:lastPrinted>2015-04-20T11:23:30Z</cp:lastPrinted>
  <dcterms:created xsi:type="dcterms:W3CDTF">2011-04-14T01:26:55Z</dcterms:created>
  <dcterms:modified xsi:type="dcterms:W3CDTF">2025-12-25T02:54:17Z</dcterms:modified>
</cp:coreProperties>
</file>